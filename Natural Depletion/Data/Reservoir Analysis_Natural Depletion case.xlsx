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Neptune Selatan Oilfield\Neptune Selatan Oilfield\nat depl\"/>
    </mc:Choice>
  </mc:AlternateContent>
  <xr:revisionPtr revIDLastSave="0" documentId="13_ncr:1_{6C94F10D-75E1-4125-BB84-5C37F4B1D89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servoir Data" sheetId="1" r:id="rId1"/>
    <sheet name="Recovery Factor Calcula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11" i="2" s="1"/>
  <c r="B5" i="2"/>
  <c r="B4" i="2"/>
  <c r="B12" i="2" l="1"/>
</calcChain>
</file>

<file path=xl/sharedStrings.xml><?xml version="1.0" encoding="utf-8"?>
<sst xmlns="http://schemas.openxmlformats.org/spreadsheetml/2006/main" count="103" uniqueCount="102">
  <si>
    <t>Date</t>
  </si>
  <si>
    <t>Average Pressure (bars)</t>
  </si>
  <si>
    <t>Watercut (fraction)</t>
  </si>
  <si>
    <t>Oil Rate (sm3/day)</t>
  </si>
  <si>
    <t>Water Injection Rate (sm3/day)</t>
  </si>
  <si>
    <t>Oil Total (sm3)</t>
  </si>
  <si>
    <t>01-Jan-26</t>
  </si>
  <si>
    <t>02-Jan-26</t>
  </si>
  <si>
    <t>01-Feb-26</t>
  </si>
  <si>
    <t>01-Mar-26</t>
  </si>
  <si>
    <t>01-Apr-26</t>
  </si>
  <si>
    <t>02-Apr-26</t>
  </si>
  <si>
    <t>01-May-26</t>
  </si>
  <si>
    <t>01-Jun-26</t>
  </si>
  <si>
    <t>01-Jul-26</t>
  </si>
  <si>
    <t>02-Jul-26</t>
  </si>
  <si>
    <t>01-Aug-26</t>
  </si>
  <si>
    <t>01-Sep-26</t>
  </si>
  <si>
    <t>01-Oct-26</t>
  </si>
  <si>
    <t>02-Oct-26</t>
  </si>
  <si>
    <t>01-Nov-26</t>
  </si>
  <si>
    <t>01-Dec-26</t>
  </si>
  <si>
    <t>01-Jan-27</t>
  </si>
  <si>
    <t>02-Jan-27</t>
  </si>
  <si>
    <t>01-Jan-28</t>
  </si>
  <si>
    <t>01-Jan-29</t>
  </si>
  <si>
    <t>01-Jan-30</t>
  </si>
  <si>
    <t>02-Jan-30</t>
  </si>
  <si>
    <t>01-Jul-30</t>
  </si>
  <si>
    <t>01-Jan-31</t>
  </si>
  <si>
    <t>02-Jan-31</t>
  </si>
  <si>
    <t>15-Jan-31</t>
  </si>
  <si>
    <t>16-Jan-31</t>
  </si>
  <si>
    <t>01-Jul-31</t>
  </si>
  <si>
    <t>01-Jan-32</t>
  </si>
  <si>
    <t>02-Jan-32</t>
  </si>
  <si>
    <t>15-Jan-32</t>
  </si>
  <si>
    <t>16-Jan-32</t>
  </si>
  <si>
    <t>01-Jul-32</t>
  </si>
  <si>
    <t>01-Jan-33</t>
  </si>
  <si>
    <t>02-Jan-33</t>
  </si>
  <si>
    <t>15-Jan-33</t>
  </si>
  <si>
    <t>16-Jan-33</t>
  </si>
  <si>
    <t>01-Jul-33</t>
  </si>
  <si>
    <t>01-Jan-34</t>
  </si>
  <si>
    <t>02-Jan-34</t>
  </si>
  <si>
    <t>15-Jan-34</t>
  </si>
  <si>
    <t>16-Jan-34</t>
  </si>
  <si>
    <t>01-Jul-34</t>
  </si>
  <si>
    <t>01-Jan-35</t>
  </si>
  <si>
    <t>02-Jan-35</t>
  </si>
  <si>
    <t>15-Jan-35</t>
  </si>
  <si>
    <t>16-Jan-35</t>
  </si>
  <si>
    <t>01-Jul-35</t>
  </si>
  <si>
    <t>01-Jan-36</t>
  </si>
  <si>
    <t>02-Jan-36</t>
  </si>
  <si>
    <t>15-Jan-36</t>
  </si>
  <si>
    <t>16-Jan-36</t>
  </si>
  <si>
    <t>01-Jul-36</t>
  </si>
  <si>
    <t>01-Jan-37</t>
  </si>
  <si>
    <t>02-Jan-37</t>
  </si>
  <si>
    <t>15-Jan-37</t>
  </si>
  <si>
    <t>16-Jan-37</t>
  </si>
  <si>
    <t>01-Jul-37</t>
  </si>
  <si>
    <t>01-Jan-38</t>
  </si>
  <si>
    <t>02-Jan-38</t>
  </si>
  <si>
    <t>15-Jan-38</t>
  </si>
  <si>
    <t>16-Jan-38</t>
  </si>
  <si>
    <t>01-Jul-38</t>
  </si>
  <si>
    <t>01-Jan-39</t>
  </si>
  <si>
    <t>02-Jan-39</t>
  </si>
  <si>
    <t>15-Jan-39</t>
  </si>
  <si>
    <t>16-Jan-39</t>
  </si>
  <si>
    <t>01-Jul-39</t>
  </si>
  <si>
    <t>01-Jan-40</t>
  </si>
  <si>
    <t>02-Jan-40</t>
  </si>
  <si>
    <t>15-Jan-40</t>
  </si>
  <si>
    <t>16-Jan-40</t>
  </si>
  <si>
    <t>01-Jul-40</t>
  </si>
  <si>
    <t>01-Jan-41</t>
  </si>
  <si>
    <t>02-Jan-41</t>
  </si>
  <si>
    <t>15-Jan-41</t>
  </si>
  <si>
    <t>16-Jan-41</t>
  </si>
  <si>
    <t>01-Jul-41</t>
  </si>
  <si>
    <t>01-Jan-42</t>
  </si>
  <si>
    <t>02-Jan-42</t>
  </si>
  <si>
    <t>15-Jan-42</t>
  </si>
  <si>
    <t>16-Jan-42</t>
  </si>
  <si>
    <t>01-Jul-42</t>
  </si>
  <si>
    <t>Reservoir Recovery Factor Analysis</t>
  </si>
  <si>
    <t>Parameter</t>
  </si>
  <si>
    <t>Value</t>
  </si>
  <si>
    <t>Initial Reservoir Pressure (bars)</t>
  </si>
  <si>
    <t>Final Reservoir Pressure (bars)</t>
  </si>
  <si>
    <t>Cumulative Oil Production - Np (sm3)</t>
  </si>
  <si>
    <t>Assumptions (Input Required)</t>
  </si>
  <si>
    <t>Original Oil In Place - OOIP - N (sm3)</t>
  </si>
  <si>
    <t>Recovery Factor - RF (%)</t>
  </si>
  <si>
    <t>Recovery Factor - RF (decimal)</t>
  </si>
  <si>
    <t>Notes:</t>
  </si>
  <si>
    <t>• RF = Np / N  where Np = Cumulative Oil Production, N = OOIP</t>
  </si>
  <si>
    <t>• Current Np from data: 3,786,318.03 sm³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</si>
</sst>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F4E78"/>
      <name val="Arial"/>
      <family val="2"/>
    </font>
    <font>
      <b/>
      <sz val="11"/>
      <name val="Arial"/>
      <family val="2"/>
    </font>
    <font>
      <sz val="11"/>
      <color rgb="FF008000"/>
      <name val="Arial"/>
      <family val="2"/>
    </font>
    <font>
      <b/>
      <sz val="11"/>
      <color rgb="FF0000FF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sz val="9"/>
      <color rgb="FF666666"/>
      <name val="Arial"/>
      <family val="2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4" fillId="3" borderId="0" xfId="0" applyFont="1" applyFill="1"/>
    <xf numFmtId="2" fontId="5" fillId="0" borderId="0" xfId="0" applyNumberFormat="1" applyFont="1"/>
    <xf numFmtId="4" fontId="5" fillId="0" borderId="0" xfId="0" applyNumberFormat="1" applyFont="1"/>
    <xf numFmtId="3" fontId="6" fillId="0" borderId="0" xfId="0" applyNumberFormat="1" applyFont="1"/>
    <xf numFmtId="0" fontId="4" fillId="0" borderId="0" xfId="0" applyFont="1"/>
    <xf numFmtId="2" fontId="7" fillId="4" borderId="0" xfId="0" applyNumberFormat="1" applyFont="1" applyFill="1"/>
    <xf numFmtId="0" fontId="8" fillId="0" borderId="0" xfId="0" applyFont="1"/>
    <xf numFmtId="165" fontId="9" fillId="4" borderId="0" xfId="0" applyNumberFormat="1" applyFont="1" applyFill="1"/>
    <xf numFmtId="0" fontId="10" fillId="0" borderId="0" xfId="0" applyFont="1"/>
    <xf numFmtId="0" fontId="3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2</xdr:row>
      <xdr:rowOff>85493</xdr:rowOff>
    </xdr:from>
    <xdr:to>
      <xdr:col>17</xdr:col>
      <xdr:colOff>129540</xdr:colOff>
      <xdr:row>18</xdr:row>
      <xdr:rowOff>182879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83DEDE-E948-24BD-0C50-984AE4D5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1560" y="489353"/>
          <a:ext cx="8641080" cy="3023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zoomScaleNormal="100" workbookViewId="0">
      <selection activeCell="J19" sqref="J19"/>
    </sheetView>
  </sheetViews>
  <sheetFormatPr defaultColWidth="8.6640625" defaultRowHeight="14.4" x14ac:dyDescent="0.3"/>
  <cols>
    <col min="1" max="1" width="9.77734375" bestFit="1" customWidth="1"/>
    <col min="2" max="2" width="25" bestFit="1" customWidth="1"/>
    <col min="3" max="3" width="19.109375" bestFit="1" customWidth="1"/>
    <col min="4" max="4" width="19" bestFit="1" customWidth="1"/>
    <col min="5" max="5" width="31.21875" bestFit="1" customWidth="1"/>
    <col min="6" max="6" width="1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236.163312692532</v>
      </c>
      <c r="C2" s="4">
        <v>0</v>
      </c>
      <c r="D2" s="3">
        <v>0</v>
      </c>
      <c r="E2" s="3">
        <v>0</v>
      </c>
      <c r="F2" s="5">
        <v>0</v>
      </c>
    </row>
    <row r="3" spans="1:6" x14ac:dyDescent="0.3">
      <c r="A3" s="2" t="s">
        <v>6</v>
      </c>
      <c r="B3" s="3">
        <v>236.16332482766799</v>
      </c>
      <c r="C3" s="4">
        <v>0</v>
      </c>
      <c r="D3" s="3">
        <v>0</v>
      </c>
      <c r="E3" s="3">
        <v>0</v>
      </c>
      <c r="F3" s="5">
        <v>0</v>
      </c>
    </row>
    <row r="4" spans="1:6" x14ac:dyDescent="0.3">
      <c r="A4" s="2" t="s">
        <v>7</v>
      </c>
      <c r="B4" s="3">
        <v>236.12272370669001</v>
      </c>
      <c r="C4" s="4">
        <v>8.0394285082756003E-7</v>
      </c>
      <c r="D4" s="3">
        <v>600</v>
      </c>
      <c r="E4" s="3">
        <v>0</v>
      </c>
      <c r="F4" s="5">
        <v>0.6</v>
      </c>
    </row>
    <row r="5" spans="1:6" x14ac:dyDescent="0.3">
      <c r="A5" s="2" t="s">
        <v>8</v>
      </c>
      <c r="B5" s="3">
        <v>235.32337189298701</v>
      </c>
      <c r="C5" s="4">
        <v>2.4312399138415801E-6</v>
      </c>
      <c r="D5" s="3">
        <v>600</v>
      </c>
      <c r="E5" s="3">
        <v>0</v>
      </c>
      <c r="F5" s="5">
        <v>18.594000000000001</v>
      </c>
    </row>
    <row r="6" spans="1:6" x14ac:dyDescent="0.3">
      <c r="A6" s="2" t="s">
        <v>9</v>
      </c>
      <c r="B6" s="3">
        <v>234.73509855219999</v>
      </c>
      <c r="C6" s="4">
        <v>3.1150054219105201E-6</v>
      </c>
      <c r="D6" s="3">
        <v>600</v>
      </c>
      <c r="E6" s="3">
        <v>0</v>
      </c>
      <c r="F6" s="5">
        <v>35.393999999999998</v>
      </c>
    </row>
    <row r="7" spans="1:6" x14ac:dyDescent="0.3">
      <c r="A7" s="2" t="s">
        <v>10</v>
      </c>
      <c r="B7" s="3">
        <v>234.15155978445799</v>
      </c>
      <c r="C7" s="4">
        <v>3.7788392756278801E-6</v>
      </c>
      <c r="D7" s="3">
        <v>600</v>
      </c>
      <c r="E7" s="3">
        <v>0</v>
      </c>
      <c r="F7" s="5">
        <v>53.994</v>
      </c>
    </row>
    <row r="8" spans="1:6" x14ac:dyDescent="0.3">
      <c r="A8" s="2" t="s">
        <v>11</v>
      </c>
      <c r="B8" s="3">
        <v>234.10923080582401</v>
      </c>
      <c r="C8" s="4">
        <v>4.4030580113111902E-6</v>
      </c>
      <c r="D8" s="3">
        <v>1200</v>
      </c>
      <c r="E8" s="3">
        <v>0</v>
      </c>
      <c r="F8" s="5">
        <v>55.194000000000003</v>
      </c>
    </row>
    <row r="9" spans="1:6" x14ac:dyDescent="0.3">
      <c r="A9" s="2" t="s">
        <v>12</v>
      </c>
      <c r="B9" s="3">
        <v>233.023348228662</v>
      </c>
      <c r="C9" s="4">
        <v>6.6697437223819101E-6</v>
      </c>
      <c r="D9" s="3">
        <v>1200</v>
      </c>
      <c r="E9" s="3">
        <v>0</v>
      </c>
      <c r="F9" s="5">
        <v>89.994</v>
      </c>
    </row>
    <row r="10" spans="1:6" x14ac:dyDescent="0.3">
      <c r="A10" s="2" t="s">
        <v>13</v>
      </c>
      <c r="B10" s="3">
        <v>231.9678372194</v>
      </c>
      <c r="C10" s="4">
        <v>8.1326965949715004E-6</v>
      </c>
      <c r="D10" s="3">
        <v>1200</v>
      </c>
      <c r="E10" s="3">
        <v>0</v>
      </c>
      <c r="F10" s="5">
        <v>127.194</v>
      </c>
    </row>
    <row r="11" spans="1:6" x14ac:dyDescent="0.3">
      <c r="A11" s="2" t="s">
        <v>14</v>
      </c>
      <c r="B11" s="3">
        <v>231.009392461034</v>
      </c>
      <c r="C11" s="4">
        <v>9.3986468107180606E-6</v>
      </c>
      <c r="D11" s="3">
        <v>1200</v>
      </c>
      <c r="E11" s="3">
        <v>0</v>
      </c>
      <c r="F11" s="5">
        <v>163.19399999999999</v>
      </c>
    </row>
    <row r="12" spans="1:6" x14ac:dyDescent="0.3">
      <c r="A12" s="2" t="s">
        <v>15</v>
      </c>
      <c r="B12" s="3">
        <v>231.007884122468</v>
      </c>
      <c r="C12" s="4">
        <v>8.43083279459732E-6</v>
      </c>
      <c r="D12" s="3">
        <v>600</v>
      </c>
      <c r="E12" s="3">
        <v>0</v>
      </c>
      <c r="F12" s="5">
        <v>163.79400000000001</v>
      </c>
    </row>
    <row r="13" spans="1:6" x14ac:dyDescent="0.3">
      <c r="A13" s="2" t="s">
        <v>16</v>
      </c>
      <c r="B13" s="3">
        <v>230.69390630342099</v>
      </c>
      <c r="C13" s="4">
        <v>7.8642968021097207E-6</v>
      </c>
      <c r="D13" s="3">
        <v>600</v>
      </c>
      <c r="E13" s="3">
        <v>0</v>
      </c>
      <c r="F13" s="5">
        <v>181.79400000000001</v>
      </c>
    </row>
    <row r="14" spans="1:6" x14ac:dyDescent="0.3">
      <c r="A14" s="2" t="s">
        <v>17</v>
      </c>
      <c r="B14" s="3">
        <v>230.33395126875001</v>
      </c>
      <c r="C14" s="4">
        <v>8.2004082580949206E-6</v>
      </c>
      <c r="D14" s="3">
        <v>600</v>
      </c>
      <c r="E14" s="3">
        <v>0</v>
      </c>
      <c r="F14" s="5">
        <v>200.39400000000001</v>
      </c>
    </row>
    <row r="15" spans="1:6" x14ac:dyDescent="0.3">
      <c r="A15" s="2" t="s">
        <v>18</v>
      </c>
      <c r="B15" s="3">
        <v>229.99652608816999</v>
      </c>
      <c r="C15" s="4">
        <v>8.5679760994588502E-6</v>
      </c>
      <c r="D15" s="3">
        <v>600</v>
      </c>
      <c r="E15" s="3">
        <v>0</v>
      </c>
      <c r="F15" s="5">
        <v>218.39400000000001</v>
      </c>
    </row>
    <row r="16" spans="1:6" x14ac:dyDescent="0.3">
      <c r="A16" s="2" t="s">
        <v>19</v>
      </c>
      <c r="B16" s="3">
        <v>229.99940269136201</v>
      </c>
      <c r="C16" s="4">
        <v>8.1538490290833307E-6</v>
      </c>
      <c r="D16" s="3">
        <v>300</v>
      </c>
      <c r="E16" s="3">
        <v>0</v>
      </c>
      <c r="F16" s="5">
        <v>218.69399999999999</v>
      </c>
    </row>
    <row r="17" spans="1:6" x14ac:dyDescent="0.3">
      <c r="A17" s="2" t="s">
        <v>20</v>
      </c>
      <c r="B17" s="3">
        <v>229.983994112668</v>
      </c>
      <c r="C17" s="4">
        <v>7.6183428998696702E-6</v>
      </c>
      <c r="D17" s="3">
        <v>300</v>
      </c>
      <c r="E17" s="3">
        <v>0</v>
      </c>
      <c r="F17" s="5">
        <v>227.69399999999999</v>
      </c>
    </row>
    <row r="18" spans="1:6" x14ac:dyDescent="0.3">
      <c r="A18" s="2" t="s">
        <v>21</v>
      </c>
      <c r="B18" s="3">
        <v>229.933789640062</v>
      </c>
      <c r="C18" s="4">
        <v>7.5926920509747299E-6</v>
      </c>
      <c r="D18" s="3">
        <v>300</v>
      </c>
      <c r="E18" s="3">
        <v>0</v>
      </c>
      <c r="F18" s="5">
        <v>236.69399999999999</v>
      </c>
    </row>
    <row r="19" spans="1:6" x14ac:dyDescent="0.3">
      <c r="A19" s="2" t="s">
        <v>22</v>
      </c>
      <c r="B19" s="3">
        <v>229.87218666075901</v>
      </c>
      <c r="C19" s="4">
        <v>7.6345500057093202E-6</v>
      </c>
      <c r="D19" s="3">
        <v>300</v>
      </c>
      <c r="E19" s="3">
        <v>0</v>
      </c>
      <c r="F19" s="5">
        <v>245.994</v>
      </c>
    </row>
    <row r="20" spans="1:6" x14ac:dyDescent="0.3">
      <c r="A20" s="2" t="s">
        <v>23</v>
      </c>
      <c r="B20" s="3">
        <v>229.88837509017901</v>
      </c>
      <c r="C20" s="4">
        <v>0</v>
      </c>
      <c r="D20" s="3">
        <v>0</v>
      </c>
      <c r="E20" s="3">
        <v>0</v>
      </c>
      <c r="F20" s="5">
        <v>245.994</v>
      </c>
    </row>
    <row r="21" spans="1:6" x14ac:dyDescent="0.3">
      <c r="A21" s="2" t="s">
        <v>24</v>
      </c>
      <c r="B21" s="3">
        <v>232.44965714950101</v>
      </c>
      <c r="C21" s="4">
        <v>0</v>
      </c>
      <c r="D21" s="3">
        <v>0</v>
      </c>
      <c r="E21" s="3">
        <v>0</v>
      </c>
      <c r="F21" s="5">
        <v>245.994</v>
      </c>
    </row>
    <row r="22" spans="1:6" x14ac:dyDescent="0.3">
      <c r="A22" s="2" t="s">
        <v>25</v>
      </c>
      <c r="B22" s="3">
        <v>233.74342176957299</v>
      </c>
      <c r="C22" s="4">
        <v>0</v>
      </c>
      <c r="D22" s="3">
        <v>0</v>
      </c>
      <c r="E22" s="3">
        <v>0</v>
      </c>
      <c r="F22" s="5">
        <v>245.994</v>
      </c>
    </row>
    <row r="23" spans="1:6" x14ac:dyDescent="0.3">
      <c r="A23" s="2" t="s">
        <v>26</v>
      </c>
      <c r="B23" s="3">
        <v>234.51497202680901</v>
      </c>
      <c r="C23" s="4">
        <v>0</v>
      </c>
      <c r="D23" s="3">
        <v>0</v>
      </c>
      <c r="E23" s="3">
        <v>0</v>
      </c>
      <c r="F23" s="5">
        <v>245.994</v>
      </c>
    </row>
    <row r="24" spans="1:6" x14ac:dyDescent="0.3">
      <c r="A24" s="2" t="s">
        <v>27</v>
      </c>
      <c r="B24" s="3">
        <v>234.458648562642</v>
      </c>
      <c r="C24" s="4">
        <v>2.6353416856479399E-6</v>
      </c>
      <c r="D24" s="3">
        <v>900</v>
      </c>
      <c r="E24" s="3">
        <v>0</v>
      </c>
      <c r="F24" s="5">
        <v>246.89400000000001</v>
      </c>
    </row>
    <row r="25" spans="1:6" x14ac:dyDescent="0.3">
      <c r="A25" s="2" t="s">
        <v>28</v>
      </c>
      <c r="B25" s="3">
        <v>228.854123226562</v>
      </c>
      <c r="C25" s="4">
        <v>1.1481326639930201E-5</v>
      </c>
      <c r="D25" s="3">
        <v>900</v>
      </c>
      <c r="E25" s="3">
        <v>0</v>
      </c>
      <c r="F25" s="5">
        <v>408.89400000000001</v>
      </c>
    </row>
    <row r="26" spans="1:6" x14ac:dyDescent="0.3">
      <c r="A26" s="2" t="s">
        <v>29</v>
      </c>
      <c r="B26" s="3">
        <v>225.17474360941199</v>
      </c>
      <c r="C26" s="4">
        <v>1.9931005543128002E-5</v>
      </c>
      <c r="D26" s="3">
        <v>900</v>
      </c>
      <c r="E26" s="3">
        <v>0</v>
      </c>
      <c r="F26" s="5">
        <v>574.49400000000003</v>
      </c>
    </row>
    <row r="27" spans="1:6" x14ac:dyDescent="0.3">
      <c r="A27" s="2" t="s">
        <v>30</v>
      </c>
      <c r="B27" s="3">
        <v>225.20189347231801</v>
      </c>
      <c r="C27" s="4">
        <v>0</v>
      </c>
      <c r="D27" s="3">
        <v>0</v>
      </c>
      <c r="E27" s="3">
        <v>0</v>
      </c>
      <c r="F27" s="5">
        <v>574.49400000000003</v>
      </c>
    </row>
    <row r="28" spans="1:6" x14ac:dyDescent="0.3">
      <c r="A28" s="2" t="s">
        <v>31</v>
      </c>
      <c r="B28" s="3">
        <v>225.44369769861299</v>
      </c>
      <c r="C28" s="4">
        <v>0</v>
      </c>
      <c r="D28" s="3">
        <v>0</v>
      </c>
      <c r="E28" s="3">
        <v>0</v>
      </c>
      <c r="F28" s="5">
        <v>574.49400000000003</v>
      </c>
    </row>
    <row r="29" spans="1:6" x14ac:dyDescent="0.3">
      <c r="A29" s="2" t="s">
        <v>32</v>
      </c>
      <c r="B29" s="3">
        <v>225.411463552078</v>
      </c>
      <c r="C29" s="4">
        <v>1.7352173184435501E-5</v>
      </c>
      <c r="D29" s="3">
        <v>900</v>
      </c>
      <c r="E29" s="3">
        <v>0</v>
      </c>
      <c r="F29" s="5">
        <v>575.39400000000001</v>
      </c>
    </row>
    <row r="30" spans="1:6" x14ac:dyDescent="0.3">
      <c r="A30" s="2" t="s">
        <v>33</v>
      </c>
      <c r="B30" s="3">
        <v>222.221746249224</v>
      </c>
      <c r="C30" s="4">
        <v>2.8184399227545899E-5</v>
      </c>
      <c r="D30" s="3">
        <v>900</v>
      </c>
      <c r="E30" s="3">
        <v>0</v>
      </c>
      <c r="F30" s="5">
        <v>724.79399999999998</v>
      </c>
    </row>
    <row r="31" spans="1:6" x14ac:dyDescent="0.3">
      <c r="A31" s="2" t="s">
        <v>34</v>
      </c>
      <c r="B31" s="3">
        <v>219.29349119582099</v>
      </c>
      <c r="C31" s="4">
        <v>3.7675006878401197E-5</v>
      </c>
      <c r="D31" s="3">
        <v>900</v>
      </c>
      <c r="E31" s="3">
        <v>0</v>
      </c>
      <c r="F31" s="5">
        <v>890.39400000000001</v>
      </c>
    </row>
    <row r="32" spans="1:6" x14ac:dyDescent="0.3">
      <c r="A32" s="2" t="s">
        <v>35</v>
      </c>
      <c r="B32" s="3">
        <v>219.323386089672</v>
      </c>
      <c r="C32" s="4">
        <v>0</v>
      </c>
      <c r="D32" s="3">
        <v>0</v>
      </c>
      <c r="E32" s="3">
        <v>0</v>
      </c>
      <c r="F32" s="5">
        <v>890.39400000000001</v>
      </c>
    </row>
    <row r="33" spans="1:6" x14ac:dyDescent="0.3">
      <c r="A33" s="2" t="s">
        <v>36</v>
      </c>
      <c r="B33" s="3">
        <v>219.632645550034</v>
      </c>
      <c r="C33" s="4">
        <v>0</v>
      </c>
      <c r="D33" s="3">
        <v>0</v>
      </c>
      <c r="E33" s="3">
        <v>0</v>
      </c>
      <c r="F33" s="5">
        <v>890.39400000000001</v>
      </c>
    </row>
    <row r="34" spans="1:6" x14ac:dyDescent="0.3">
      <c r="A34" s="2" t="s">
        <v>37</v>
      </c>
      <c r="B34" s="3">
        <v>219.608136710758</v>
      </c>
      <c r="C34" s="4">
        <v>3.4069478195234802E-5</v>
      </c>
      <c r="D34" s="3">
        <v>900</v>
      </c>
      <c r="E34" s="3">
        <v>0</v>
      </c>
      <c r="F34" s="5">
        <v>891.29399999999998</v>
      </c>
    </row>
    <row r="35" spans="1:6" x14ac:dyDescent="0.3">
      <c r="A35" s="2" t="s">
        <v>38</v>
      </c>
      <c r="B35" s="3">
        <v>217.17850952522701</v>
      </c>
      <c r="C35" s="4">
        <v>5.0771832322978401E-5</v>
      </c>
      <c r="D35" s="3">
        <v>900</v>
      </c>
      <c r="E35" s="3">
        <v>0</v>
      </c>
      <c r="F35" s="5">
        <v>1041.5940000000001</v>
      </c>
    </row>
    <row r="36" spans="1:6" x14ac:dyDescent="0.3">
      <c r="A36" s="2" t="s">
        <v>39</v>
      </c>
      <c r="B36" s="3">
        <v>214.985713130824</v>
      </c>
      <c r="C36" s="4">
        <v>1.4939083938140201E-4</v>
      </c>
      <c r="D36" s="3">
        <v>900</v>
      </c>
      <c r="E36" s="3">
        <v>0</v>
      </c>
      <c r="F36" s="5">
        <v>1207.194</v>
      </c>
    </row>
    <row r="37" spans="1:6" x14ac:dyDescent="0.3">
      <c r="A37" s="2" t="s">
        <v>40</v>
      </c>
      <c r="B37" s="3">
        <v>215.017710673609</v>
      </c>
      <c r="C37" s="4">
        <v>0</v>
      </c>
      <c r="D37" s="3">
        <v>0</v>
      </c>
      <c r="E37" s="3">
        <v>0</v>
      </c>
      <c r="F37" s="5">
        <v>1207.194</v>
      </c>
    </row>
    <row r="38" spans="1:6" x14ac:dyDescent="0.3">
      <c r="A38" s="2" t="s">
        <v>41</v>
      </c>
      <c r="B38" s="3">
        <v>215.365377734861</v>
      </c>
      <c r="C38" s="4">
        <v>0</v>
      </c>
      <c r="D38" s="3">
        <v>0</v>
      </c>
      <c r="E38" s="3">
        <v>0</v>
      </c>
      <c r="F38" s="5">
        <v>1207.194</v>
      </c>
    </row>
    <row r="39" spans="1:6" x14ac:dyDescent="0.3">
      <c r="A39" s="2" t="s">
        <v>42</v>
      </c>
      <c r="B39" s="3">
        <v>215.34709037689501</v>
      </c>
      <c r="C39" s="4">
        <v>1.4720688631138099E-4</v>
      </c>
      <c r="D39" s="3">
        <v>900</v>
      </c>
      <c r="E39" s="3">
        <v>0</v>
      </c>
      <c r="F39" s="5">
        <v>1208.0940000000001</v>
      </c>
    </row>
    <row r="40" spans="1:6" x14ac:dyDescent="0.3">
      <c r="A40" s="2" t="s">
        <v>43</v>
      </c>
      <c r="B40" s="3">
        <v>213.43329004471201</v>
      </c>
      <c r="C40" s="4">
        <v>1.4708609167462801E-3</v>
      </c>
      <c r="D40" s="3">
        <v>900</v>
      </c>
      <c r="E40" s="3">
        <v>0</v>
      </c>
      <c r="F40" s="5">
        <v>1357.4939999999999</v>
      </c>
    </row>
    <row r="41" spans="1:6" x14ac:dyDescent="0.3">
      <c r="A41" s="2" t="s">
        <v>44</v>
      </c>
      <c r="B41" s="3">
        <v>211.66229629399601</v>
      </c>
      <c r="C41" s="4">
        <v>5.93077235931518E-3</v>
      </c>
      <c r="D41" s="3">
        <v>900</v>
      </c>
      <c r="E41" s="3">
        <v>0</v>
      </c>
      <c r="F41" s="5">
        <v>1523.0940000000001</v>
      </c>
    </row>
    <row r="42" spans="1:6" x14ac:dyDescent="0.3">
      <c r="A42" s="2" t="s">
        <v>45</v>
      </c>
      <c r="B42" s="3">
        <v>211.69385405326901</v>
      </c>
      <c r="C42" s="4">
        <v>0</v>
      </c>
      <c r="D42" s="3">
        <v>0</v>
      </c>
      <c r="E42" s="3">
        <v>0</v>
      </c>
      <c r="F42" s="5">
        <v>1523.0940000000001</v>
      </c>
    </row>
    <row r="43" spans="1:6" x14ac:dyDescent="0.3">
      <c r="A43" s="2" t="s">
        <v>46</v>
      </c>
      <c r="B43" s="3">
        <v>212.06308342080001</v>
      </c>
      <c r="C43" s="4">
        <v>0</v>
      </c>
      <c r="D43" s="3">
        <v>0</v>
      </c>
      <c r="E43" s="3">
        <v>0</v>
      </c>
      <c r="F43" s="5">
        <v>1523.0940000000001</v>
      </c>
    </row>
    <row r="44" spans="1:6" x14ac:dyDescent="0.3">
      <c r="A44" s="2" t="s">
        <v>47</v>
      </c>
      <c r="B44" s="3">
        <v>212.04905578745399</v>
      </c>
      <c r="C44" s="4">
        <v>5.6819722445657804E-3</v>
      </c>
      <c r="D44" s="3">
        <v>900</v>
      </c>
      <c r="E44" s="3">
        <v>0</v>
      </c>
      <c r="F44" s="5">
        <v>1523.9939999999999</v>
      </c>
    </row>
    <row r="45" spans="1:6" x14ac:dyDescent="0.3">
      <c r="A45" s="2" t="s">
        <v>48</v>
      </c>
      <c r="B45" s="3">
        <v>210.41236415454401</v>
      </c>
      <c r="C45" s="4">
        <v>1.4189352748086701E-2</v>
      </c>
      <c r="D45" s="3">
        <v>900</v>
      </c>
      <c r="E45" s="3">
        <v>0</v>
      </c>
      <c r="F45" s="5">
        <v>1673.394</v>
      </c>
    </row>
    <row r="46" spans="1:6" x14ac:dyDescent="0.3">
      <c r="A46" s="2" t="s">
        <v>49</v>
      </c>
      <c r="B46" s="3">
        <v>208.86891358274599</v>
      </c>
      <c r="C46" s="4">
        <v>3.5478719854897901E-2</v>
      </c>
      <c r="D46" s="3">
        <v>900</v>
      </c>
      <c r="E46" s="3">
        <v>0</v>
      </c>
      <c r="F46" s="5">
        <v>1838.9939999999999</v>
      </c>
    </row>
    <row r="47" spans="1:6" x14ac:dyDescent="0.3">
      <c r="A47" s="2" t="s">
        <v>50</v>
      </c>
      <c r="B47" s="3">
        <v>208.896629443161</v>
      </c>
      <c r="C47" s="4">
        <v>0</v>
      </c>
      <c r="D47" s="3">
        <v>0</v>
      </c>
      <c r="E47" s="3">
        <v>0</v>
      </c>
      <c r="F47" s="5">
        <v>1838.9939999999999</v>
      </c>
    </row>
    <row r="48" spans="1:6" x14ac:dyDescent="0.3">
      <c r="A48" s="2" t="s">
        <v>51</v>
      </c>
      <c r="B48" s="3">
        <v>209.29158842763499</v>
      </c>
      <c r="C48" s="4">
        <v>0</v>
      </c>
      <c r="D48" s="3">
        <v>0</v>
      </c>
      <c r="E48" s="3">
        <v>0</v>
      </c>
      <c r="F48" s="5">
        <v>1838.9939999999999</v>
      </c>
    </row>
    <row r="49" spans="1:6" x14ac:dyDescent="0.3">
      <c r="A49" s="2" t="s">
        <v>52</v>
      </c>
      <c r="B49" s="3">
        <v>209.28091884328401</v>
      </c>
      <c r="C49" s="4">
        <v>3.3980599079198703E-2</v>
      </c>
      <c r="D49" s="3">
        <v>900</v>
      </c>
      <c r="E49" s="3">
        <v>0</v>
      </c>
      <c r="F49" s="5">
        <v>1839.894</v>
      </c>
    </row>
    <row r="50" spans="1:6" x14ac:dyDescent="0.3">
      <c r="A50" s="2" t="s">
        <v>53</v>
      </c>
      <c r="B50" s="3">
        <v>207.79557738077901</v>
      </c>
      <c r="C50" s="4">
        <v>4.9072417960031603E-2</v>
      </c>
      <c r="D50" s="3">
        <v>893.36385634358805</v>
      </c>
      <c r="E50" s="3">
        <v>0</v>
      </c>
      <c r="F50" s="5">
        <v>1988.8328592119101</v>
      </c>
    </row>
    <row r="51" spans="1:6" x14ac:dyDescent="0.3">
      <c r="A51" s="2" t="s">
        <v>54</v>
      </c>
      <c r="B51" s="3">
        <v>206.452055226683</v>
      </c>
      <c r="C51" s="4">
        <v>8.3555633939293994E-2</v>
      </c>
      <c r="D51" s="3">
        <v>881.054967824855</v>
      </c>
      <c r="E51" s="3">
        <v>0</v>
      </c>
      <c r="F51" s="5">
        <v>2151.56647116367</v>
      </c>
    </row>
    <row r="52" spans="1:6" x14ac:dyDescent="0.3">
      <c r="A52" s="2" t="s">
        <v>55</v>
      </c>
      <c r="B52" s="3">
        <v>206.47081398998401</v>
      </c>
      <c r="C52" s="4">
        <v>0</v>
      </c>
      <c r="D52" s="3">
        <v>0</v>
      </c>
      <c r="E52" s="3">
        <v>0</v>
      </c>
      <c r="F52" s="5">
        <v>2151.56647116367</v>
      </c>
    </row>
    <row r="53" spans="1:6" x14ac:dyDescent="0.3">
      <c r="A53" s="2" t="s">
        <v>56</v>
      </c>
      <c r="B53" s="3">
        <v>206.87216748387701</v>
      </c>
      <c r="C53" s="4">
        <v>0</v>
      </c>
      <c r="D53" s="3">
        <v>0</v>
      </c>
      <c r="E53" s="3">
        <v>0</v>
      </c>
      <c r="F53" s="5">
        <v>2151.56647116367</v>
      </c>
    </row>
    <row r="54" spans="1:6" x14ac:dyDescent="0.3">
      <c r="A54" s="2" t="s">
        <v>57</v>
      </c>
      <c r="B54" s="3">
        <v>206.865192789265</v>
      </c>
      <c r="C54" s="4">
        <v>8.51450386327086E-2</v>
      </c>
      <c r="D54" s="3">
        <v>889.73703077821904</v>
      </c>
      <c r="E54" s="3">
        <v>0</v>
      </c>
      <c r="F54" s="5">
        <v>2152.45620819445</v>
      </c>
    </row>
    <row r="55" spans="1:6" x14ac:dyDescent="0.3">
      <c r="A55" s="2" t="s">
        <v>58</v>
      </c>
      <c r="B55" s="3">
        <v>205.50773729666099</v>
      </c>
      <c r="C55" s="4">
        <v>0.123595221731818</v>
      </c>
      <c r="D55" s="3">
        <v>860.05888628653304</v>
      </c>
      <c r="E55" s="3">
        <v>0</v>
      </c>
      <c r="F55" s="5">
        <v>2297.6041459018402</v>
      </c>
    </row>
    <row r="56" spans="1:6" x14ac:dyDescent="0.3">
      <c r="A56" s="2" t="s">
        <v>59</v>
      </c>
      <c r="B56" s="3">
        <v>204.43491445108901</v>
      </c>
      <c r="C56" s="4">
        <v>0.15521013474245701</v>
      </c>
      <c r="D56" s="3">
        <v>779.45602314513701</v>
      </c>
      <c r="E56" s="3">
        <v>0</v>
      </c>
      <c r="F56" s="5">
        <v>2445.1142953143799</v>
      </c>
    </row>
    <row r="57" spans="1:6" x14ac:dyDescent="0.3">
      <c r="A57" s="2" t="s">
        <v>60</v>
      </c>
      <c r="B57" s="3">
        <v>204.45375258617401</v>
      </c>
      <c r="C57" s="4">
        <v>0</v>
      </c>
      <c r="D57" s="3">
        <v>0</v>
      </c>
      <c r="E57" s="3">
        <v>0</v>
      </c>
      <c r="F57" s="5">
        <v>2445.1142953143799</v>
      </c>
    </row>
    <row r="58" spans="1:6" x14ac:dyDescent="0.3">
      <c r="A58" s="2" t="s">
        <v>61</v>
      </c>
      <c r="B58" s="3">
        <v>204.868480956242</v>
      </c>
      <c r="C58" s="4">
        <v>0</v>
      </c>
      <c r="D58" s="3">
        <v>0</v>
      </c>
      <c r="E58" s="3">
        <v>0</v>
      </c>
      <c r="F58" s="5">
        <v>2445.1142953143799</v>
      </c>
    </row>
    <row r="59" spans="1:6" x14ac:dyDescent="0.3">
      <c r="A59" s="2" t="s">
        <v>62</v>
      </c>
      <c r="B59" s="3">
        <v>204.86445972478199</v>
      </c>
      <c r="C59" s="4">
        <v>0.15965885027820001</v>
      </c>
      <c r="D59" s="3">
        <v>808.87048432569304</v>
      </c>
      <c r="E59" s="3">
        <v>0</v>
      </c>
      <c r="F59" s="5">
        <v>2445.9231657987102</v>
      </c>
    </row>
    <row r="60" spans="1:6" x14ac:dyDescent="0.3">
      <c r="A60" s="2" t="s">
        <v>63</v>
      </c>
      <c r="B60" s="3">
        <v>203.858705969196</v>
      </c>
      <c r="C60" s="4">
        <v>0.18044305115387699</v>
      </c>
      <c r="D60" s="3">
        <v>755.82652410442995</v>
      </c>
      <c r="E60" s="3">
        <v>0</v>
      </c>
      <c r="F60" s="5">
        <v>2573.1522866329701</v>
      </c>
    </row>
    <row r="61" spans="1:6" x14ac:dyDescent="0.3">
      <c r="A61" s="2" t="s">
        <v>64</v>
      </c>
      <c r="B61" s="3">
        <v>202.95026874422501</v>
      </c>
      <c r="C61" s="4">
        <v>0.199575332919911</v>
      </c>
      <c r="D61" s="3">
        <v>735.162429193344</v>
      </c>
      <c r="E61" s="3">
        <v>0</v>
      </c>
      <c r="F61" s="5">
        <v>2709.4529567493</v>
      </c>
    </row>
    <row r="62" spans="1:6" x14ac:dyDescent="0.3">
      <c r="A62" s="2" t="s">
        <v>65</v>
      </c>
      <c r="B62" s="3">
        <v>202.96915834448899</v>
      </c>
      <c r="C62" s="4">
        <v>0</v>
      </c>
      <c r="D62" s="3">
        <v>0</v>
      </c>
      <c r="E62" s="3">
        <v>0</v>
      </c>
      <c r="F62" s="5">
        <v>2709.4529567493</v>
      </c>
    </row>
    <row r="63" spans="1:6" x14ac:dyDescent="0.3">
      <c r="A63" s="2" t="s">
        <v>66</v>
      </c>
      <c r="B63" s="3">
        <v>203.38554648660099</v>
      </c>
      <c r="C63" s="4">
        <v>0</v>
      </c>
      <c r="D63" s="3">
        <v>0</v>
      </c>
      <c r="E63" s="3">
        <v>0</v>
      </c>
      <c r="F63" s="5">
        <v>2709.4529567493</v>
      </c>
    </row>
    <row r="64" spans="1:6" x14ac:dyDescent="0.3">
      <c r="A64" s="2" t="s">
        <v>67</v>
      </c>
      <c r="B64" s="3">
        <v>203.38265063943101</v>
      </c>
      <c r="C64" s="4">
        <v>0.20494160469269401</v>
      </c>
      <c r="D64" s="3">
        <v>761.65196825522605</v>
      </c>
      <c r="E64" s="3">
        <v>0</v>
      </c>
      <c r="F64" s="5">
        <v>2710.2146087175597</v>
      </c>
    </row>
    <row r="65" spans="1:6" x14ac:dyDescent="0.3">
      <c r="A65" s="2" t="s">
        <v>68</v>
      </c>
      <c r="B65" s="3">
        <v>202.46698151920799</v>
      </c>
      <c r="C65" s="4">
        <v>0.21432783914019801</v>
      </c>
      <c r="D65" s="3">
        <v>725.750240473708</v>
      </c>
      <c r="E65" s="3">
        <v>0</v>
      </c>
      <c r="F65" s="5">
        <v>2831.5089780458197</v>
      </c>
    </row>
    <row r="66" spans="1:6" x14ac:dyDescent="0.3">
      <c r="A66" s="2" t="s">
        <v>69</v>
      </c>
      <c r="B66" s="3">
        <v>201.68236672931999</v>
      </c>
      <c r="C66" s="4">
        <v>0.23388619514171199</v>
      </c>
      <c r="D66" s="3">
        <v>712.47907534393505</v>
      </c>
      <c r="E66" s="3">
        <v>0</v>
      </c>
      <c r="F66" s="5">
        <v>2963.2842182010399</v>
      </c>
    </row>
    <row r="67" spans="1:6" x14ac:dyDescent="0.3">
      <c r="A67" s="2" t="s">
        <v>70</v>
      </c>
      <c r="B67" s="3">
        <v>201.70155283075201</v>
      </c>
      <c r="C67" s="4">
        <v>0</v>
      </c>
      <c r="D67" s="3">
        <v>0</v>
      </c>
      <c r="E67" s="3">
        <v>0</v>
      </c>
      <c r="F67" s="5">
        <v>2963.2842182010399</v>
      </c>
    </row>
    <row r="68" spans="1:6" x14ac:dyDescent="0.3">
      <c r="A68" s="2" t="s">
        <v>71</v>
      </c>
      <c r="B68" s="3">
        <v>202.12688490835299</v>
      </c>
      <c r="C68" s="4">
        <v>0</v>
      </c>
      <c r="D68" s="3">
        <v>0</v>
      </c>
      <c r="E68" s="3">
        <v>0</v>
      </c>
      <c r="F68" s="5">
        <v>2963.2842182010399</v>
      </c>
    </row>
    <row r="69" spans="1:6" x14ac:dyDescent="0.3">
      <c r="A69" s="2" t="s">
        <v>72</v>
      </c>
      <c r="B69" s="3">
        <v>202.12553274231601</v>
      </c>
      <c r="C69" s="4">
        <v>0.23894994852999599</v>
      </c>
      <c r="D69" s="3">
        <v>735.01639811560904</v>
      </c>
      <c r="E69" s="3">
        <v>0</v>
      </c>
      <c r="F69" s="5">
        <v>2964.01923459915</v>
      </c>
    </row>
    <row r="70" spans="1:6" x14ac:dyDescent="0.3">
      <c r="A70" s="2" t="s">
        <v>73</v>
      </c>
      <c r="B70" s="3">
        <v>201.232341729274</v>
      </c>
      <c r="C70" s="4">
        <v>0.25803197145286599</v>
      </c>
      <c r="D70" s="3">
        <v>705.40140707068497</v>
      </c>
      <c r="E70" s="3">
        <v>0</v>
      </c>
      <c r="F70" s="5">
        <v>3081.73321590873</v>
      </c>
    </row>
    <row r="71" spans="1:6" x14ac:dyDescent="0.3">
      <c r="A71" s="2" t="s">
        <v>74</v>
      </c>
      <c r="B71" s="3">
        <v>200.38656786461399</v>
      </c>
      <c r="C71" s="4">
        <v>0.28656783671329999</v>
      </c>
      <c r="D71" s="3">
        <v>694.37953203009295</v>
      </c>
      <c r="E71" s="3">
        <v>0</v>
      </c>
      <c r="F71" s="5">
        <v>3210.1747638093898</v>
      </c>
    </row>
    <row r="72" spans="1:6" x14ac:dyDescent="0.3">
      <c r="A72" s="2" t="s">
        <v>75</v>
      </c>
      <c r="B72" s="3">
        <v>200.40579582174499</v>
      </c>
      <c r="C72" s="4">
        <v>0</v>
      </c>
      <c r="D72" s="3">
        <v>0</v>
      </c>
      <c r="E72" s="3">
        <v>0</v>
      </c>
      <c r="F72" s="5">
        <v>3210.1747638093898</v>
      </c>
    </row>
    <row r="73" spans="1:6" x14ac:dyDescent="0.3">
      <c r="A73" s="2" t="s">
        <v>76</v>
      </c>
      <c r="B73" s="3">
        <v>200.838994010851</v>
      </c>
      <c r="C73" s="4">
        <v>0</v>
      </c>
      <c r="D73" s="3">
        <v>0</v>
      </c>
      <c r="E73" s="3">
        <v>0</v>
      </c>
      <c r="F73" s="5">
        <v>3210.1747638093898</v>
      </c>
    </row>
    <row r="74" spans="1:6" x14ac:dyDescent="0.3">
      <c r="A74" s="2" t="s">
        <v>77</v>
      </c>
      <c r="B74" s="3">
        <v>200.83797408935899</v>
      </c>
      <c r="C74" s="4">
        <v>0.29542344409940302</v>
      </c>
      <c r="D74" s="3">
        <v>713.88075142468301</v>
      </c>
      <c r="E74" s="3">
        <v>0</v>
      </c>
      <c r="F74" s="5">
        <v>3210.88864456082</v>
      </c>
    </row>
    <row r="75" spans="1:6" x14ac:dyDescent="0.3">
      <c r="A75" s="2" t="s">
        <v>78</v>
      </c>
      <c r="B75" s="3">
        <v>199.86126856399801</v>
      </c>
      <c r="C75" s="4">
        <v>0.31377920579747598</v>
      </c>
      <c r="D75" s="3">
        <v>688.87734906093306</v>
      </c>
      <c r="E75" s="3">
        <v>0</v>
      </c>
      <c r="F75" s="5">
        <v>3326.4602657735099</v>
      </c>
    </row>
    <row r="76" spans="1:6" x14ac:dyDescent="0.3">
      <c r="A76" s="2" t="s">
        <v>79</v>
      </c>
      <c r="B76" s="3">
        <v>199.02471833482201</v>
      </c>
      <c r="C76" s="4">
        <v>0.33267169711255501</v>
      </c>
      <c r="D76" s="3">
        <v>667.60274162821804</v>
      </c>
      <c r="E76" s="3">
        <v>0</v>
      </c>
      <c r="F76" s="5">
        <v>3450.4525827222801</v>
      </c>
    </row>
    <row r="77" spans="1:6" x14ac:dyDescent="0.3">
      <c r="A77" s="2" t="s">
        <v>80</v>
      </c>
      <c r="B77" s="3">
        <v>199.04414338771701</v>
      </c>
      <c r="C77" s="4">
        <v>0</v>
      </c>
      <c r="D77" s="3">
        <v>0</v>
      </c>
      <c r="E77" s="3">
        <v>0</v>
      </c>
      <c r="F77" s="5">
        <v>3450.4525827222801</v>
      </c>
    </row>
    <row r="78" spans="1:6" x14ac:dyDescent="0.3">
      <c r="A78" s="2" t="s">
        <v>81</v>
      </c>
      <c r="B78" s="3">
        <v>199.48915313448899</v>
      </c>
      <c r="C78" s="4">
        <v>0</v>
      </c>
      <c r="D78" s="3">
        <v>0</v>
      </c>
      <c r="E78" s="3">
        <v>0</v>
      </c>
      <c r="F78" s="5">
        <v>3450.4525827222801</v>
      </c>
    </row>
    <row r="79" spans="1:6" x14ac:dyDescent="0.3">
      <c r="A79" s="2" t="s">
        <v>82</v>
      </c>
      <c r="B79" s="3">
        <v>199.48856216920399</v>
      </c>
      <c r="C79" s="4">
        <v>0.34383364921239501</v>
      </c>
      <c r="D79" s="3">
        <v>691.34203553544103</v>
      </c>
      <c r="E79" s="3">
        <v>0</v>
      </c>
      <c r="F79" s="5">
        <v>3451.1439247578201</v>
      </c>
    </row>
    <row r="80" spans="1:6" x14ac:dyDescent="0.3">
      <c r="A80" s="2" t="s">
        <v>83</v>
      </c>
      <c r="B80" s="3">
        <v>198.638730502268</v>
      </c>
      <c r="C80" s="4">
        <v>0.34531707522344901</v>
      </c>
      <c r="D80" s="3">
        <v>656.08162773200797</v>
      </c>
      <c r="E80" s="3">
        <v>0</v>
      </c>
      <c r="F80" s="5">
        <v>3560.8603940482499</v>
      </c>
    </row>
    <row r="81" spans="1:6" x14ac:dyDescent="0.3">
      <c r="A81" s="2" t="s">
        <v>84</v>
      </c>
      <c r="B81" s="3">
        <v>197.90604179968199</v>
      </c>
      <c r="C81" s="4">
        <v>0.35561012659860503</v>
      </c>
      <c r="D81" s="3">
        <v>641.78730995816295</v>
      </c>
      <c r="E81" s="3">
        <v>0</v>
      </c>
      <c r="F81" s="5">
        <v>3679.5271788322502</v>
      </c>
    </row>
    <row r="82" spans="1:6" x14ac:dyDescent="0.3">
      <c r="A82" s="2" t="s">
        <v>85</v>
      </c>
      <c r="B82" s="3">
        <v>197.925702613238</v>
      </c>
      <c r="C82" s="4">
        <v>0</v>
      </c>
      <c r="D82" s="3">
        <v>0</v>
      </c>
      <c r="E82" s="3">
        <v>0</v>
      </c>
      <c r="F82" s="5">
        <v>3679.5271788322502</v>
      </c>
    </row>
    <row r="83" spans="1:6" x14ac:dyDescent="0.3">
      <c r="A83" s="2" t="s">
        <v>86</v>
      </c>
      <c r="B83" s="3">
        <v>198.37180571732301</v>
      </c>
      <c r="C83" s="4">
        <v>0</v>
      </c>
      <c r="D83" s="3">
        <v>0</v>
      </c>
      <c r="E83" s="3">
        <v>0</v>
      </c>
      <c r="F83" s="5">
        <v>3679.5271788322502</v>
      </c>
    </row>
    <row r="84" spans="1:6" x14ac:dyDescent="0.3">
      <c r="A84" s="2" t="s">
        <v>87</v>
      </c>
      <c r="B84" s="3">
        <v>198.371886832158</v>
      </c>
      <c r="C84" s="4">
        <v>0.36736508380228999</v>
      </c>
      <c r="D84" s="3">
        <v>662.29092521686698</v>
      </c>
      <c r="E84" s="3">
        <v>0</v>
      </c>
      <c r="F84" s="5">
        <v>3680.1894697574699</v>
      </c>
    </row>
    <row r="85" spans="1:6" x14ac:dyDescent="0.3">
      <c r="A85" s="2" t="s">
        <v>88</v>
      </c>
      <c r="B85" s="3">
        <v>197.57792075272599</v>
      </c>
      <c r="C85" s="4">
        <v>0.36538950255131503</v>
      </c>
      <c r="D85" s="3">
        <v>635.74802152744496</v>
      </c>
      <c r="E85" s="3">
        <v>0</v>
      </c>
      <c r="F85" s="5">
        <v>3786.3180326025099</v>
      </c>
    </row>
    <row r="86" spans="1:6" x14ac:dyDescent="0.3">
      <c r="D86" s="16"/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zoomScaleNormal="100" workbookViewId="0">
      <selection activeCell="B10" sqref="B10"/>
    </sheetView>
  </sheetViews>
  <sheetFormatPr defaultColWidth="8.6640625" defaultRowHeight="14.4" x14ac:dyDescent="0.3"/>
  <cols>
    <col min="1" max="1" width="40" customWidth="1"/>
    <col min="2" max="2" width="25" customWidth="1"/>
  </cols>
  <sheetData>
    <row r="1" spans="1:2" ht="17.399999999999999" x14ac:dyDescent="0.3">
      <c r="A1" s="15" t="s">
        <v>89</v>
      </c>
      <c r="B1" s="15"/>
    </row>
    <row r="3" spans="1:2" x14ac:dyDescent="0.3">
      <c r="A3" s="6" t="s">
        <v>90</v>
      </c>
      <c r="B3" s="6" t="s">
        <v>91</v>
      </c>
    </row>
    <row r="4" spans="1:2" x14ac:dyDescent="0.3">
      <c r="A4" t="s">
        <v>92</v>
      </c>
      <c r="B4" s="7">
        <f>'Reservoir Data'!B2</f>
        <v>236.163312692532</v>
      </c>
    </row>
    <row r="5" spans="1:2" x14ac:dyDescent="0.3">
      <c r="A5" t="s">
        <v>93</v>
      </c>
      <c r="B5" s="7">
        <f>'Reservoir Data'!B85</f>
        <v>197.57792075272599</v>
      </c>
    </row>
    <row r="6" spans="1:2" x14ac:dyDescent="0.3">
      <c r="A6" t="s">
        <v>94</v>
      </c>
      <c r="B6" s="8">
        <f>'Reservoir Data'!F85</f>
        <v>3786.3180326025099</v>
      </c>
    </row>
    <row r="8" spans="1:2" x14ac:dyDescent="0.3">
      <c r="A8" s="6" t="s">
        <v>95</v>
      </c>
      <c r="B8" s="6"/>
    </row>
    <row r="9" spans="1:2" x14ac:dyDescent="0.3">
      <c r="A9" t="s">
        <v>96</v>
      </c>
      <c r="B9" s="9">
        <v>23452</v>
      </c>
    </row>
    <row r="11" spans="1:2" x14ac:dyDescent="0.3">
      <c r="A11" s="10" t="s">
        <v>97</v>
      </c>
      <c r="B11" s="11">
        <f>IF(B9=0,"-",(B6/B9)*100)</f>
        <v>16.144968585205994</v>
      </c>
    </row>
    <row r="12" spans="1:2" x14ac:dyDescent="0.3">
      <c r="A12" s="12" t="s">
        <v>98</v>
      </c>
      <c r="B12" s="13">
        <f>IF(B9=0,"-",B6/B9)</f>
        <v>0.16144968585205996</v>
      </c>
    </row>
    <row r="14" spans="1:2" x14ac:dyDescent="0.3">
      <c r="A14" s="12" t="s">
        <v>99</v>
      </c>
    </row>
    <row r="15" spans="1:2" x14ac:dyDescent="0.3">
      <c r="A15" s="14" t="s">
        <v>100</v>
      </c>
    </row>
    <row r="16" spans="1:2" x14ac:dyDescent="0.3">
      <c r="A16" s="14" t="s">
        <v>101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Reservoir Data</vt:lpstr>
      <vt:lpstr>Recovery Factor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Harissa Rania</cp:lastModifiedBy>
  <cp:revision>0</cp:revision>
  <dcterms:created xsi:type="dcterms:W3CDTF">2026-02-06T00:49:50Z</dcterms:created>
  <dcterms:modified xsi:type="dcterms:W3CDTF">2026-02-06T02:42:56Z</dcterms:modified>
  <dc:language>en-US</dc:language>
</cp:coreProperties>
</file>