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Neptune Selatan Oilfield\Neptune Selatan Oilfield\wtrfl\"/>
    </mc:Choice>
  </mc:AlternateContent>
  <xr:revisionPtr revIDLastSave="0" documentId="13_ncr:1_{1C80A2FC-CDA1-41F9-88E8-932B4D20EB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aterflood Data" sheetId="1" r:id="rId1"/>
    <sheet name="Recovery Factor Calcul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6" i="2"/>
  <c r="B5" i="2"/>
  <c r="B4" i="2"/>
</calcChain>
</file>

<file path=xl/sharedStrings.xml><?xml version="1.0" encoding="utf-8"?>
<sst xmlns="http://schemas.openxmlformats.org/spreadsheetml/2006/main" count="104" uniqueCount="103">
  <si>
    <t>Date</t>
  </si>
  <si>
    <t>Average Pressure (bars)</t>
  </si>
  <si>
    <t>Watercut (fraction)</t>
  </si>
  <si>
    <t>Oil Rate (sm3/day)</t>
  </si>
  <si>
    <t>Water Injection Rate (sm3/day)</t>
  </si>
  <si>
    <t>Oil Total (sm3)</t>
  </si>
  <si>
    <t>01-Jan-26</t>
  </si>
  <si>
    <t>02-Jan-26</t>
  </si>
  <si>
    <t>01-Feb-26</t>
  </si>
  <si>
    <t>01-Mar-26</t>
  </si>
  <si>
    <t>01-Apr-26</t>
  </si>
  <si>
    <t>02-Apr-26</t>
  </si>
  <si>
    <t>01-May-26</t>
  </si>
  <si>
    <t>01-Jun-26</t>
  </si>
  <si>
    <t>01-Jul-26</t>
  </si>
  <si>
    <t>02-Jul-26</t>
  </si>
  <si>
    <t>01-Aug-26</t>
  </si>
  <si>
    <t>01-Sep-26</t>
  </si>
  <si>
    <t>01-Oct-26</t>
  </si>
  <si>
    <t>02-Oct-26</t>
  </si>
  <si>
    <t>01-Nov-26</t>
  </si>
  <si>
    <t>01-Dec-26</t>
  </si>
  <si>
    <t>01-Jan-27</t>
  </si>
  <si>
    <t>02-Jan-27</t>
  </si>
  <si>
    <t>01-Jan-28</t>
  </si>
  <si>
    <t>01-Jan-29</t>
  </si>
  <si>
    <t>01-Jan-30</t>
  </si>
  <si>
    <t>02-Jan-30</t>
  </si>
  <si>
    <t>01-Jul-30</t>
  </si>
  <si>
    <t>01-Jan-31</t>
  </si>
  <si>
    <t>02-Jan-31</t>
  </si>
  <si>
    <t>15-Jan-31</t>
  </si>
  <si>
    <t>16-Jan-31</t>
  </si>
  <si>
    <t>01-Jul-31</t>
  </si>
  <si>
    <t>01-Jan-32</t>
  </si>
  <si>
    <t>02-Jan-32</t>
  </si>
  <si>
    <t>15-Jan-32</t>
  </si>
  <si>
    <t>16-Jan-32</t>
  </si>
  <si>
    <t>01-Jul-32</t>
  </si>
  <si>
    <t>01-Jan-33</t>
  </si>
  <si>
    <t>02-Jan-33</t>
  </si>
  <si>
    <t>15-Jan-33</t>
  </si>
  <si>
    <t>16-Jan-33</t>
  </si>
  <si>
    <t>01-Jul-33</t>
  </si>
  <si>
    <t>01-Jan-34</t>
  </si>
  <si>
    <t>02-Jan-34</t>
  </si>
  <si>
    <t>15-Jan-34</t>
  </si>
  <si>
    <t>16-Jan-34</t>
  </si>
  <si>
    <t>01-Jul-34</t>
  </si>
  <si>
    <t>01-Jan-35</t>
  </si>
  <si>
    <t>02-Jan-35</t>
  </si>
  <si>
    <t>15-Jan-35</t>
  </si>
  <si>
    <t>16-Jan-35</t>
  </si>
  <si>
    <t>01-Jul-35</t>
  </si>
  <si>
    <t>01-Jan-36</t>
  </si>
  <si>
    <t>02-Jan-36</t>
  </si>
  <si>
    <t>15-Jan-36</t>
  </si>
  <si>
    <t>16-Jan-36</t>
  </si>
  <si>
    <t>01-Jul-36</t>
  </si>
  <si>
    <t>01-Jan-37</t>
  </si>
  <si>
    <t>02-Jan-37</t>
  </si>
  <si>
    <t>15-Jan-37</t>
  </si>
  <si>
    <t>16-Jan-37</t>
  </si>
  <si>
    <t>01-Jul-37</t>
  </si>
  <si>
    <t>01-Jan-38</t>
  </si>
  <si>
    <t>02-Jan-38</t>
  </si>
  <si>
    <t>15-Jan-38</t>
  </si>
  <si>
    <t>16-Jan-38</t>
  </si>
  <si>
    <t>01-Jul-38</t>
  </si>
  <si>
    <t>01-Jan-39</t>
  </si>
  <si>
    <t>02-Jan-39</t>
  </si>
  <si>
    <t>15-Jan-39</t>
  </si>
  <si>
    <t>16-Jan-39</t>
  </si>
  <si>
    <t>01-Jul-39</t>
  </si>
  <si>
    <t>01-Jan-40</t>
  </si>
  <si>
    <t>02-Jan-40</t>
  </si>
  <si>
    <t>15-Jan-40</t>
  </si>
  <si>
    <t>16-Jan-40</t>
  </si>
  <si>
    <t>01-Jul-40</t>
  </si>
  <si>
    <t>01-Jan-41</t>
  </si>
  <si>
    <t>02-Jan-41</t>
  </si>
  <si>
    <t>15-Jan-41</t>
  </si>
  <si>
    <t>16-Jan-41</t>
  </si>
  <si>
    <t>01-Jul-41</t>
  </si>
  <si>
    <t>01-Jan-42</t>
  </si>
  <si>
    <t>02-Jan-42</t>
  </si>
  <si>
    <t>15-Jan-42</t>
  </si>
  <si>
    <t>16-Jan-42</t>
  </si>
  <si>
    <t>01-Jul-42</t>
  </si>
  <si>
    <t>Waterflood Recovery Factor Analysis</t>
  </si>
  <si>
    <t>Parameter</t>
  </si>
  <si>
    <t>Value</t>
  </si>
  <si>
    <t>Initial Reservoir Pressure (bars)</t>
  </si>
  <si>
    <t>Final Reservoir Pressure (bars)</t>
  </si>
  <si>
    <t>Cumulative Oil Production - Np (sm3)</t>
  </si>
  <si>
    <t>Assumptions (Input Required)</t>
  </si>
  <si>
    <t>Original Oil In Place - OOIP - N (sm3)</t>
  </si>
  <si>
    <t>Recovery Factor - RF (%)</t>
  </si>
  <si>
    <t>Recovery Factor - RF (decimal)</t>
  </si>
  <si>
    <t>Notes:</t>
  </si>
  <si>
    <t>• Update the OOIP value (blue cell) with your actual reservoir data</t>
  </si>
  <si>
    <t>• RF = Np / N  where Np = Cumulative Oil Production, N = OOIP</t>
  </si>
  <si>
    <t>• Current Np from data: 2,629,625.95 sm³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</si>
</sst>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"/>
    <numFmt numFmtId="167" formatCode="#,##0.0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3" borderId="0" xfId="0" applyFont="1" applyFill="1"/>
    <xf numFmtId="2" fontId="5" fillId="0" borderId="0" xfId="0" applyNumberFormat="1" applyFont="1"/>
    <xf numFmtId="4" fontId="5" fillId="0" borderId="0" xfId="0" applyNumberFormat="1" applyFont="1"/>
    <xf numFmtId="3" fontId="6" fillId="0" borderId="0" xfId="0" applyNumberFormat="1" applyFont="1"/>
    <xf numFmtId="0" fontId="4" fillId="0" borderId="0" xfId="0" applyFont="1"/>
    <xf numFmtId="2" fontId="7" fillId="4" borderId="0" xfId="0" applyNumberFormat="1" applyFont="1" applyFill="1"/>
    <xf numFmtId="0" fontId="8" fillId="0" borderId="0" xfId="0" applyFont="1"/>
    <xf numFmtId="165" fontId="9" fillId="4" borderId="0" xfId="0" applyNumberFormat="1" applyFont="1" applyFill="1"/>
    <xf numFmtId="0" fontId="10" fillId="0" borderId="0" xfId="0" applyFont="1"/>
    <xf numFmtId="167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E6394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B35"/>
      <rgbColor rgb="FF666666"/>
      <rgbColor rgb="FF969696"/>
      <rgbColor rgb="FF004E89"/>
      <rgbColor rgb="FF06A77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96133</xdr:colOff>
      <xdr:row>0</xdr:row>
      <xdr:rowOff>175260</xdr:rowOff>
    </xdr:from>
    <xdr:to>
      <xdr:col>16</xdr:col>
      <xdr:colOff>152400</xdr:colOff>
      <xdr:row>30</xdr:row>
      <xdr:rowOff>173273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3B6331-CB62-ACEB-EEA8-B3EE7B5B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8193" y="175260"/>
          <a:ext cx="7782947" cy="5522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zoomScaleNormal="100" workbookViewId="0">
      <selection activeCell="I10" sqref="I10"/>
    </sheetView>
  </sheetViews>
  <sheetFormatPr defaultColWidth="8.6640625" defaultRowHeight="14.4" x14ac:dyDescent="0.3"/>
  <cols>
    <col min="1" max="1" width="12" customWidth="1"/>
    <col min="2" max="2" width="22" customWidth="1"/>
    <col min="3" max="3" width="20" customWidth="1"/>
    <col min="4" max="4" width="18" customWidth="1"/>
    <col min="5" max="5" width="25" customWidth="1"/>
    <col min="6" max="6" width="20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>
        <v>235.93352087100101</v>
      </c>
      <c r="C2" s="5">
        <v>0</v>
      </c>
      <c r="D2" s="4">
        <v>0</v>
      </c>
      <c r="E2" s="4">
        <v>0</v>
      </c>
      <c r="F2" s="15">
        <v>0</v>
      </c>
    </row>
    <row r="3" spans="1:6" x14ac:dyDescent="0.3">
      <c r="A3" s="3" t="s">
        <v>6</v>
      </c>
      <c r="B3" s="4">
        <v>235.932418485912</v>
      </c>
      <c r="C3" s="5">
        <v>0.10990382183403299</v>
      </c>
      <c r="D3" s="4">
        <v>1200</v>
      </c>
      <c r="E3" s="4">
        <v>1000</v>
      </c>
      <c r="F3" s="15">
        <v>1.2E-2</v>
      </c>
    </row>
    <row r="4" spans="1:6" x14ac:dyDescent="0.3">
      <c r="A4" s="3" t="s">
        <v>7</v>
      </c>
      <c r="B4" s="4">
        <v>235.861458221991</v>
      </c>
      <c r="C4" s="5">
        <v>0.110773908713991</v>
      </c>
      <c r="D4" s="4">
        <v>1200</v>
      </c>
      <c r="E4" s="4">
        <v>1000</v>
      </c>
      <c r="F4" s="15">
        <v>1.212</v>
      </c>
    </row>
    <row r="5" spans="1:6" x14ac:dyDescent="0.3">
      <c r="A5" s="3" t="s">
        <v>8</v>
      </c>
      <c r="B5" s="4">
        <v>234.765324199795</v>
      </c>
      <c r="C5" s="5">
        <v>0.12413116039328199</v>
      </c>
      <c r="D5" s="4">
        <v>1200</v>
      </c>
      <c r="E5" s="4">
        <v>1000</v>
      </c>
      <c r="F5" s="15">
        <v>37.200000000000003</v>
      </c>
    </row>
    <row r="6" spans="1:6" x14ac:dyDescent="0.3">
      <c r="A6" s="3" t="s">
        <v>9</v>
      </c>
      <c r="B6" s="4">
        <v>233.94799628640999</v>
      </c>
      <c r="C6" s="5">
        <v>0.13404912550829001</v>
      </c>
      <c r="D6" s="4">
        <v>1193.07216974671</v>
      </c>
      <c r="E6" s="4">
        <v>1000</v>
      </c>
      <c r="F6" s="15">
        <v>70.678477560350601</v>
      </c>
    </row>
    <row r="7" spans="1:6" x14ac:dyDescent="0.3">
      <c r="A7" s="3" t="s">
        <v>10</v>
      </c>
      <c r="B7" s="4">
        <v>233.087815248309</v>
      </c>
      <c r="C7" s="5">
        <v>0.14587874249173099</v>
      </c>
      <c r="D7" s="4">
        <v>1185.88375666766</v>
      </c>
      <c r="E7" s="4">
        <v>1000</v>
      </c>
      <c r="F7" s="15">
        <v>107.48483258965101</v>
      </c>
    </row>
    <row r="8" spans="1:6" x14ac:dyDescent="0.3">
      <c r="A8" s="3" t="s">
        <v>11</v>
      </c>
      <c r="B8" s="4">
        <v>233.060333782258</v>
      </c>
      <c r="C8" s="5">
        <v>0.14627719042044099</v>
      </c>
      <c r="D8" s="4">
        <v>1185.66520675166</v>
      </c>
      <c r="E8" s="4">
        <v>1000</v>
      </c>
      <c r="F8" s="15">
        <v>108.670497796402</v>
      </c>
    </row>
    <row r="9" spans="1:6" x14ac:dyDescent="0.3">
      <c r="A9" s="3" t="s">
        <v>12</v>
      </c>
      <c r="B9" s="4">
        <v>232.285820918512</v>
      </c>
      <c r="C9" s="5">
        <v>0.15864641977602001</v>
      </c>
      <c r="D9" s="4">
        <v>1180.1426675539001</v>
      </c>
      <c r="E9" s="4">
        <v>1000</v>
      </c>
      <c r="F9" s="15">
        <v>142.89463515546498</v>
      </c>
    </row>
    <row r="10" spans="1:6" x14ac:dyDescent="0.3">
      <c r="A10" s="3" t="s">
        <v>13</v>
      </c>
      <c r="B10" s="4">
        <v>231.484061754034</v>
      </c>
      <c r="C10" s="5">
        <v>0.174384814045737</v>
      </c>
      <c r="D10" s="4">
        <v>1174.97992253806</v>
      </c>
      <c r="E10" s="4">
        <v>1000</v>
      </c>
      <c r="F10" s="15">
        <v>179.31901275414498</v>
      </c>
    </row>
    <row r="11" spans="1:6" x14ac:dyDescent="0.3">
      <c r="A11" s="3" t="s">
        <v>14</v>
      </c>
      <c r="B11" s="4">
        <v>230.734147839641</v>
      </c>
      <c r="C11" s="5">
        <v>0.187511568590887</v>
      </c>
      <c r="D11" s="4">
        <v>1161.43936409855</v>
      </c>
      <c r="E11" s="4">
        <v>1000</v>
      </c>
      <c r="F11" s="15">
        <v>214.25746272664199</v>
      </c>
    </row>
    <row r="12" spans="1:6" x14ac:dyDescent="0.3">
      <c r="A12" s="3" t="s">
        <v>15</v>
      </c>
      <c r="B12" s="4">
        <v>230.74719294838599</v>
      </c>
      <c r="C12" s="5">
        <v>0.18937834117187499</v>
      </c>
      <c r="D12" s="4">
        <v>600</v>
      </c>
      <c r="E12" s="4">
        <v>1000</v>
      </c>
      <c r="F12" s="15">
        <v>214.85746272664201</v>
      </c>
    </row>
    <row r="13" spans="1:6" x14ac:dyDescent="0.3">
      <c r="A13" s="3" t="s">
        <v>16</v>
      </c>
      <c r="B13" s="4">
        <v>230.928678376123</v>
      </c>
      <c r="C13" s="5">
        <v>0.19425925628531601</v>
      </c>
      <c r="D13" s="4">
        <v>600</v>
      </c>
      <c r="E13" s="4">
        <v>1000</v>
      </c>
      <c r="F13" s="15">
        <v>232.85746272664201</v>
      </c>
    </row>
    <row r="14" spans="1:6" x14ac:dyDescent="0.3">
      <c r="A14" s="3" t="s">
        <v>17</v>
      </c>
      <c r="B14" s="4">
        <v>231.00720732302599</v>
      </c>
      <c r="C14" s="5">
        <v>0.20008875579145999</v>
      </c>
      <c r="D14" s="4">
        <v>600</v>
      </c>
      <c r="E14" s="4">
        <v>1000</v>
      </c>
      <c r="F14" s="15">
        <v>251.45746272664201</v>
      </c>
    </row>
    <row r="15" spans="1:6" x14ac:dyDescent="0.3">
      <c r="A15" s="3" t="s">
        <v>18</v>
      </c>
      <c r="B15" s="4">
        <v>231.05358018755501</v>
      </c>
      <c r="C15" s="5">
        <v>0.20655297002116199</v>
      </c>
      <c r="D15" s="4">
        <v>600</v>
      </c>
      <c r="E15" s="4">
        <v>1000</v>
      </c>
      <c r="F15" s="15">
        <v>269.45746272664201</v>
      </c>
    </row>
    <row r="16" spans="1:6" x14ac:dyDescent="0.3">
      <c r="A16" s="3" t="s">
        <v>19</v>
      </c>
      <c r="B16" s="4">
        <v>231.07791160312499</v>
      </c>
      <c r="C16" s="5">
        <v>0.206717940160486</v>
      </c>
      <c r="D16" s="4">
        <v>300</v>
      </c>
      <c r="E16" s="4">
        <v>1000</v>
      </c>
      <c r="F16" s="15">
        <v>269.75746272664202</v>
      </c>
    </row>
    <row r="17" spans="1:6" x14ac:dyDescent="0.3">
      <c r="A17" s="3" t="s">
        <v>20</v>
      </c>
      <c r="B17" s="4">
        <v>231.66561402827199</v>
      </c>
      <c r="C17" s="5">
        <v>0.20846626445543501</v>
      </c>
      <c r="D17" s="4">
        <v>300</v>
      </c>
      <c r="E17" s="4">
        <v>1000</v>
      </c>
      <c r="F17" s="15">
        <v>278.75746272664202</v>
      </c>
    </row>
    <row r="18" spans="1:6" x14ac:dyDescent="0.3">
      <c r="A18" s="3" t="s">
        <v>21</v>
      </c>
      <c r="B18" s="4">
        <v>232.19013378348299</v>
      </c>
      <c r="C18" s="5">
        <v>0.21093380890004401</v>
      </c>
      <c r="D18" s="4">
        <v>300</v>
      </c>
      <c r="E18" s="4">
        <v>1000</v>
      </c>
      <c r="F18" s="15">
        <v>287.75746272664202</v>
      </c>
    </row>
    <row r="19" spans="1:6" x14ac:dyDescent="0.3">
      <c r="A19" s="3" t="s">
        <v>22</v>
      </c>
      <c r="B19" s="4">
        <v>232.680618171763</v>
      </c>
      <c r="C19" s="5">
        <v>0.21446297067293599</v>
      </c>
      <c r="D19" s="4">
        <v>300</v>
      </c>
      <c r="E19" s="4">
        <v>1000</v>
      </c>
      <c r="F19" s="15">
        <v>297.05746272664203</v>
      </c>
    </row>
    <row r="20" spans="1:6" x14ac:dyDescent="0.3">
      <c r="A20" s="3" t="s">
        <v>23</v>
      </c>
      <c r="B20" s="4">
        <v>232.719813398518</v>
      </c>
      <c r="C20" s="5">
        <v>0</v>
      </c>
      <c r="D20" s="4">
        <v>0</v>
      </c>
      <c r="E20" s="4">
        <v>1000</v>
      </c>
      <c r="F20" s="15">
        <v>297.05746272664203</v>
      </c>
    </row>
    <row r="21" spans="1:6" x14ac:dyDescent="0.3">
      <c r="A21" s="3" t="s">
        <v>24</v>
      </c>
      <c r="B21" s="4">
        <v>241.99190437426699</v>
      </c>
      <c r="C21" s="5">
        <v>0</v>
      </c>
      <c r="D21" s="4">
        <v>0</v>
      </c>
      <c r="E21" s="4">
        <v>1000</v>
      </c>
      <c r="F21" s="15">
        <v>297.05746272664203</v>
      </c>
    </row>
    <row r="22" spans="1:6" x14ac:dyDescent="0.3">
      <c r="A22" s="3" t="s">
        <v>25</v>
      </c>
      <c r="B22" s="4">
        <v>247.969349613171</v>
      </c>
      <c r="C22" s="5">
        <v>0</v>
      </c>
      <c r="D22" s="4">
        <v>0</v>
      </c>
      <c r="E22" s="4">
        <v>1000</v>
      </c>
      <c r="F22" s="15">
        <v>297.05746272664203</v>
      </c>
    </row>
    <row r="23" spans="1:6" x14ac:dyDescent="0.3">
      <c r="A23" s="3" t="s">
        <v>26</v>
      </c>
      <c r="B23" s="4">
        <v>252.20799134466199</v>
      </c>
      <c r="C23" s="5">
        <v>0</v>
      </c>
      <c r="D23" s="4">
        <v>0</v>
      </c>
      <c r="E23" s="4">
        <v>1000</v>
      </c>
      <c r="F23" s="15">
        <v>297.05746272664203</v>
      </c>
    </row>
    <row r="24" spans="1:6" x14ac:dyDescent="0.3">
      <c r="A24" s="3" t="s">
        <v>27</v>
      </c>
      <c r="B24" s="4">
        <v>252.13998952502899</v>
      </c>
      <c r="C24" s="5">
        <v>0.22409739318157501</v>
      </c>
      <c r="D24" s="4">
        <v>900</v>
      </c>
      <c r="E24" s="4">
        <v>1000</v>
      </c>
      <c r="F24" s="15">
        <v>297.95746272664201</v>
      </c>
    </row>
    <row r="25" spans="1:6" x14ac:dyDescent="0.3">
      <c r="A25" s="3" t="s">
        <v>28</v>
      </c>
      <c r="B25" s="4">
        <v>243.684354821992</v>
      </c>
      <c r="C25" s="5">
        <v>0.34845288556738602</v>
      </c>
      <c r="D25" s="4">
        <v>900</v>
      </c>
      <c r="E25" s="4">
        <v>1000</v>
      </c>
      <c r="F25" s="15">
        <v>459.95746272664201</v>
      </c>
    </row>
    <row r="26" spans="1:6" x14ac:dyDescent="0.3">
      <c r="A26" s="3" t="s">
        <v>29</v>
      </c>
      <c r="B26" s="4">
        <v>236.627908928446</v>
      </c>
      <c r="C26" s="5">
        <v>0.40470205423419803</v>
      </c>
      <c r="D26" s="4">
        <v>899.25955351051198</v>
      </c>
      <c r="E26" s="4">
        <v>1000</v>
      </c>
      <c r="F26" s="15">
        <v>625.54307501636799</v>
      </c>
    </row>
    <row r="27" spans="1:6" x14ac:dyDescent="0.3">
      <c r="A27" s="3" t="s">
        <v>30</v>
      </c>
      <c r="B27" s="4">
        <v>236.67459820719199</v>
      </c>
      <c r="C27" s="5">
        <v>0</v>
      </c>
      <c r="D27" s="4">
        <v>0</v>
      </c>
      <c r="E27" s="4">
        <v>1000</v>
      </c>
      <c r="F27" s="15">
        <v>625.54307501636799</v>
      </c>
    </row>
    <row r="28" spans="1:6" x14ac:dyDescent="0.3">
      <c r="A28" s="3" t="s">
        <v>31</v>
      </c>
      <c r="B28" s="4">
        <v>237.231528270273</v>
      </c>
      <c r="C28" s="5">
        <v>0</v>
      </c>
      <c r="D28" s="4">
        <v>0</v>
      </c>
      <c r="E28" s="4">
        <v>1000</v>
      </c>
      <c r="F28" s="15">
        <v>625.54307501636799</v>
      </c>
    </row>
    <row r="29" spans="1:6" x14ac:dyDescent="0.3">
      <c r="A29" s="3" t="s">
        <v>32</v>
      </c>
      <c r="B29" s="4">
        <v>237.18919623660699</v>
      </c>
      <c r="C29" s="5">
        <v>0.40846261978109499</v>
      </c>
      <c r="D29" s="4">
        <v>900</v>
      </c>
      <c r="E29" s="4">
        <v>1000</v>
      </c>
      <c r="F29" s="15">
        <v>626.44307501636797</v>
      </c>
    </row>
    <row r="30" spans="1:6" x14ac:dyDescent="0.3">
      <c r="A30" s="3" t="s">
        <v>33</v>
      </c>
      <c r="B30" s="4">
        <v>231.63272500982299</v>
      </c>
      <c r="C30" s="5">
        <v>0.43784813902067299</v>
      </c>
      <c r="D30" s="4">
        <v>861.31744662803101</v>
      </c>
      <c r="E30" s="4">
        <v>1000</v>
      </c>
      <c r="F30" s="15">
        <v>771.61947708298601</v>
      </c>
    </row>
    <row r="31" spans="1:6" x14ac:dyDescent="0.3">
      <c r="A31" s="3" t="s">
        <v>34</v>
      </c>
      <c r="B31" s="4">
        <v>227.40989791209299</v>
      </c>
      <c r="C31" s="5">
        <v>0.46927836138683998</v>
      </c>
      <c r="D31" s="4">
        <v>823.01244737778302</v>
      </c>
      <c r="E31" s="4">
        <v>1000</v>
      </c>
      <c r="F31" s="15">
        <v>924.69334762551</v>
      </c>
    </row>
    <row r="32" spans="1:6" x14ac:dyDescent="0.3">
      <c r="A32" s="3" t="s">
        <v>35</v>
      </c>
      <c r="B32" s="4">
        <v>227.46487658561901</v>
      </c>
      <c r="C32" s="5">
        <v>0</v>
      </c>
      <c r="D32" s="4">
        <v>0</v>
      </c>
      <c r="E32" s="4">
        <v>1000</v>
      </c>
      <c r="F32" s="15">
        <v>924.69334762551</v>
      </c>
    </row>
    <row r="33" spans="1:6" x14ac:dyDescent="0.3">
      <c r="A33" s="3" t="s">
        <v>36</v>
      </c>
      <c r="B33" s="4">
        <v>228.14453251393101</v>
      </c>
      <c r="C33" s="5">
        <v>0</v>
      </c>
      <c r="D33" s="4">
        <v>0</v>
      </c>
      <c r="E33" s="4">
        <v>1000</v>
      </c>
      <c r="F33" s="15">
        <v>924.69334762551</v>
      </c>
    </row>
    <row r="34" spans="1:6" x14ac:dyDescent="0.3">
      <c r="A34" s="3" t="s">
        <v>37</v>
      </c>
      <c r="B34" s="4">
        <v>228.11580987474599</v>
      </c>
      <c r="C34" s="5">
        <v>0.47988552168734699</v>
      </c>
      <c r="D34" s="4">
        <v>835.76029120562396</v>
      </c>
      <c r="E34" s="4">
        <v>1000</v>
      </c>
      <c r="F34" s="15">
        <v>925.52910791671604</v>
      </c>
    </row>
    <row r="35" spans="1:6" x14ac:dyDescent="0.3">
      <c r="A35" s="3" t="s">
        <v>38</v>
      </c>
      <c r="B35" s="4">
        <v>224.67108558150301</v>
      </c>
      <c r="C35" s="5">
        <v>0.49928933386831598</v>
      </c>
      <c r="D35" s="4">
        <v>790.366574692124</v>
      </c>
      <c r="E35" s="4">
        <v>1000</v>
      </c>
      <c r="F35" s="15">
        <v>1059.0110430826301</v>
      </c>
    </row>
    <row r="36" spans="1:6" x14ac:dyDescent="0.3">
      <c r="A36" s="3" t="s">
        <v>39</v>
      </c>
      <c r="B36" s="4">
        <v>221.61688158821801</v>
      </c>
      <c r="C36" s="5">
        <v>0.52980302775508303</v>
      </c>
      <c r="D36" s="4">
        <v>759.406938024547</v>
      </c>
      <c r="E36" s="4">
        <v>1000</v>
      </c>
      <c r="F36" s="15">
        <v>1200.2790669991</v>
      </c>
    </row>
    <row r="37" spans="1:6" x14ac:dyDescent="0.3">
      <c r="A37" s="3" t="s">
        <v>40</v>
      </c>
      <c r="B37" s="4">
        <v>221.67152010798401</v>
      </c>
      <c r="C37" s="5">
        <v>0</v>
      </c>
      <c r="D37" s="4">
        <v>0</v>
      </c>
      <c r="E37" s="4">
        <v>1000</v>
      </c>
      <c r="F37" s="15">
        <v>1200.2790669991</v>
      </c>
    </row>
    <row r="38" spans="1:6" x14ac:dyDescent="0.3">
      <c r="A38" s="3" t="s">
        <v>41</v>
      </c>
      <c r="B38" s="4">
        <v>222.396840060486</v>
      </c>
      <c r="C38" s="5">
        <v>0</v>
      </c>
      <c r="D38" s="4">
        <v>0</v>
      </c>
      <c r="E38" s="4">
        <v>1000</v>
      </c>
      <c r="F38" s="15">
        <v>1200.2790669991</v>
      </c>
    </row>
    <row r="39" spans="1:6" x14ac:dyDescent="0.3">
      <c r="A39" s="3" t="s">
        <v>42</v>
      </c>
      <c r="B39" s="4">
        <v>222.37663153184101</v>
      </c>
      <c r="C39" s="5">
        <v>0.541849537634298</v>
      </c>
      <c r="D39" s="4">
        <v>773.45405038280103</v>
      </c>
      <c r="E39" s="4">
        <v>1000</v>
      </c>
      <c r="F39" s="15">
        <v>1201.05252104948</v>
      </c>
    </row>
    <row r="40" spans="1:6" x14ac:dyDescent="0.3">
      <c r="A40" s="3" t="s">
        <v>43</v>
      </c>
      <c r="B40" s="4">
        <v>219.584535337386</v>
      </c>
      <c r="C40" s="5">
        <v>0.55834794852965597</v>
      </c>
      <c r="D40" s="4">
        <v>723.54819945540498</v>
      </c>
      <c r="E40" s="4">
        <v>1000</v>
      </c>
      <c r="F40" s="15">
        <v>1323.4338406161999</v>
      </c>
    </row>
    <row r="41" spans="1:6" x14ac:dyDescent="0.3">
      <c r="A41" s="3" t="s">
        <v>44</v>
      </c>
      <c r="B41" s="4">
        <v>217.36473103295799</v>
      </c>
      <c r="C41" s="5">
        <v>0.59956093042927505</v>
      </c>
      <c r="D41" s="4">
        <v>640.33417874863903</v>
      </c>
      <c r="E41" s="4">
        <v>1000</v>
      </c>
      <c r="F41" s="15">
        <v>1445.8943198101599</v>
      </c>
    </row>
    <row r="42" spans="1:6" x14ac:dyDescent="0.3">
      <c r="A42" s="3" t="s">
        <v>45</v>
      </c>
      <c r="B42" s="4">
        <v>217.41374561241301</v>
      </c>
      <c r="C42" s="5">
        <v>0</v>
      </c>
      <c r="D42" s="4">
        <v>0</v>
      </c>
      <c r="E42" s="4">
        <v>1000</v>
      </c>
      <c r="F42" s="15">
        <v>1445.8943198101599</v>
      </c>
    </row>
    <row r="43" spans="1:6" x14ac:dyDescent="0.3">
      <c r="A43" s="3" t="s">
        <v>46</v>
      </c>
      <c r="B43" s="4">
        <v>218.17563224780099</v>
      </c>
      <c r="C43" s="5">
        <v>0</v>
      </c>
      <c r="D43" s="4">
        <v>0</v>
      </c>
      <c r="E43" s="4">
        <v>1000</v>
      </c>
      <c r="F43" s="15">
        <v>1445.8943198101599</v>
      </c>
    </row>
    <row r="44" spans="1:6" x14ac:dyDescent="0.3">
      <c r="A44" s="3" t="s">
        <v>47</v>
      </c>
      <c r="B44" s="4">
        <v>218.16483643382401</v>
      </c>
      <c r="C44" s="5">
        <v>0.61345585226365396</v>
      </c>
      <c r="D44" s="4">
        <v>658.38024190277895</v>
      </c>
      <c r="E44" s="4">
        <v>1000</v>
      </c>
      <c r="F44" s="15">
        <v>1446.5527000520599</v>
      </c>
    </row>
    <row r="45" spans="1:6" x14ac:dyDescent="0.3">
      <c r="A45" s="3" t="s">
        <v>48</v>
      </c>
      <c r="B45" s="4">
        <v>216.20415234528801</v>
      </c>
      <c r="C45" s="5">
        <v>0.63676292373499899</v>
      </c>
      <c r="D45" s="4">
        <v>577.75669735972599</v>
      </c>
      <c r="E45" s="4">
        <v>1000</v>
      </c>
      <c r="F45" s="15">
        <v>1546.02191056469</v>
      </c>
    </row>
    <row r="46" spans="1:6" x14ac:dyDescent="0.3">
      <c r="A46" s="3" t="s">
        <v>49</v>
      </c>
      <c r="B46" s="4">
        <v>214.652739879298</v>
      </c>
      <c r="C46" s="5">
        <v>0.666064370255118</v>
      </c>
      <c r="D46" s="4">
        <v>531.515231264102</v>
      </c>
      <c r="E46" s="4">
        <v>1000</v>
      </c>
      <c r="F46" s="15">
        <v>1645.6608703181398</v>
      </c>
    </row>
    <row r="47" spans="1:6" x14ac:dyDescent="0.3">
      <c r="A47" s="3" t="s">
        <v>50</v>
      </c>
      <c r="B47" s="4">
        <v>214.702765934713</v>
      </c>
      <c r="C47" s="5">
        <v>0</v>
      </c>
      <c r="D47" s="4">
        <v>0</v>
      </c>
      <c r="E47" s="4">
        <v>1000</v>
      </c>
      <c r="F47" s="15">
        <v>1645.6608703181398</v>
      </c>
    </row>
    <row r="48" spans="1:6" x14ac:dyDescent="0.3">
      <c r="A48" s="3" t="s">
        <v>51</v>
      </c>
      <c r="B48" s="4">
        <v>215.49092770789301</v>
      </c>
      <c r="C48" s="5">
        <v>0</v>
      </c>
      <c r="D48" s="4">
        <v>0</v>
      </c>
      <c r="E48" s="4">
        <v>1000</v>
      </c>
      <c r="F48" s="15">
        <v>1645.6608703181398</v>
      </c>
    </row>
    <row r="49" spans="1:6" x14ac:dyDescent="0.3">
      <c r="A49" s="3" t="s">
        <v>52</v>
      </c>
      <c r="B49" s="4">
        <v>215.483781629596</v>
      </c>
      <c r="C49" s="5">
        <v>0.67504246412490099</v>
      </c>
      <c r="D49" s="4">
        <v>559.88385790389498</v>
      </c>
      <c r="E49" s="4">
        <v>1000</v>
      </c>
      <c r="F49" s="15">
        <v>1646.2207541760399</v>
      </c>
    </row>
    <row r="50" spans="1:6" x14ac:dyDescent="0.3">
      <c r="A50" s="3" t="s">
        <v>53</v>
      </c>
      <c r="B50" s="4">
        <v>213.828605944586</v>
      </c>
      <c r="C50" s="5">
        <v>0.68800326791345701</v>
      </c>
      <c r="D50" s="4">
        <v>506.10706299737097</v>
      </c>
      <c r="E50" s="4">
        <v>1000</v>
      </c>
      <c r="F50" s="15">
        <v>1731.55910516262</v>
      </c>
    </row>
    <row r="51" spans="1:6" x14ac:dyDescent="0.3">
      <c r="A51" s="3" t="s">
        <v>54</v>
      </c>
      <c r="B51" s="4">
        <v>212.414739641305</v>
      </c>
      <c r="C51" s="5">
        <v>0.70856758335611203</v>
      </c>
      <c r="D51" s="4">
        <v>479.55891804075202</v>
      </c>
      <c r="E51" s="4">
        <v>1000</v>
      </c>
      <c r="F51" s="15">
        <v>1820.91906983639</v>
      </c>
    </row>
    <row r="52" spans="1:6" x14ac:dyDescent="0.3">
      <c r="A52" s="3" t="s">
        <v>55</v>
      </c>
      <c r="B52" s="4">
        <v>212.46959730626</v>
      </c>
      <c r="C52" s="5">
        <v>0</v>
      </c>
      <c r="D52" s="4">
        <v>0</v>
      </c>
      <c r="E52" s="4">
        <v>1000</v>
      </c>
      <c r="F52" s="15">
        <v>1820.91906983639</v>
      </c>
    </row>
    <row r="53" spans="1:6" x14ac:dyDescent="0.3">
      <c r="A53" s="3" t="s">
        <v>56</v>
      </c>
      <c r="B53" s="4">
        <v>213.27396525644701</v>
      </c>
      <c r="C53" s="5">
        <v>0</v>
      </c>
      <c r="D53" s="4">
        <v>0</v>
      </c>
      <c r="E53" s="4">
        <v>1000</v>
      </c>
      <c r="F53" s="15">
        <v>1820.91906983639</v>
      </c>
    </row>
    <row r="54" spans="1:6" x14ac:dyDescent="0.3">
      <c r="A54" s="3" t="s">
        <v>57</v>
      </c>
      <c r="B54" s="4">
        <v>213.26755357815901</v>
      </c>
      <c r="C54" s="5">
        <v>0.71807190609802296</v>
      </c>
      <c r="D54" s="4">
        <v>500.48012175107101</v>
      </c>
      <c r="E54" s="4">
        <v>1000</v>
      </c>
      <c r="F54" s="15">
        <v>1821.4195499581499</v>
      </c>
    </row>
    <row r="55" spans="1:6" x14ac:dyDescent="0.3">
      <c r="A55" s="3" t="s">
        <v>58</v>
      </c>
      <c r="B55" s="4">
        <v>211.69463465558201</v>
      </c>
      <c r="C55" s="5">
        <v>0.72549377097935297</v>
      </c>
      <c r="D55" s="4">
        <v>462.63341757483897</v>
      </c>
      <c r="E55" s="4">
        <v>1000</v>
      </c>
      <c r="F55" s="15">
        <v>1899.6384358423102</v>
      </c>
    </row>
    <row r="56" spans="1:6" x14ac:dyDescent="0.3">
      <c r="A56" s="3" t="s">
        <v>59</v>
      </c>
      <c r="B56" s="4">
        <v>210.472388331144</v>
      </c>
      <c r="C56" s="5">
        <v>0.74385585226635498</v>
      </c>
      <c r="D56" s="4">
        <v>436.09706443388598</v>
      </c>
      <c r="E56" s="4">
        <v>1000</v>
      </c>
      <c r="F56" s="15">
        <v>1980.6137059990201</v>
      </c>
    </row>
    <row r="57" spans="1:6" x14ac:dyDescent="0.3">
      <c r="A57" s="3" t="s">
        <v>60</v>
      </c>
      <c r="B57" s="4">
        <v>210.51563138999299</v>
      </c>
      <c r="C57" s="5">
        <v>0</v>
      </c>
      <c r="D57" s="4">
        <v>0</v>
      </c>
      <c r="E57" s="4">
        <v>1000</v>
      </c>
      <c r="F57" s="15">
        <v>1980.6137059990201</v>
      </c>
    </row>
    <row r="58" spans="1:6" x14ac:dyDescent="0.3">
      <c r="A58" s="3" t="s">
        <v>61</v>
      </c>
      <c r="B58" s="4">
        <v>211.342990532805</v>
      </c>
      <c r="C58" s="5">
        <v>0</v>
      </c>
      <c r="D58" s="4">
        <v>0</v>
      </c>
      <c r="E58" s="4">
        <v>1000</v>
      </c>
      <c r="F58" s="15">
        <v>1980.6137059990201</v>
      </c>
    </row>
    <row r="59" spans="1:6" x14ac:dyDescent="0.3">
      <c r="A59" s="3" t="s">
        <v>62</v>
      </c>
      <c r="B59" s="4">
        <v>211.33701679139901</v>
      </c>
      <c r="C59" s="5">
        <v>0.75014688615278002</v>
      </c>
      <c r="D59" s="4">
        <v>465.31391457037</v>
      </c>
      <c r="E59" s="4">
        <v>1000</v>
      </c>
      <c r="F59" s="15">
        <v>1981.0790199135899</v>
      </c>
    </row>
    <row r="60" spans="1:6" x14ac:dyDescent="0.3">
      <c r="A60" s="3" t="s">
        <v>63</v>
      </c>
      <c r="B60" s="4">
        <v>209.82913679685399</v>
      </c>
      <c r="C60" s="5">
        <v>0.757378948066875</v>
      </c>
      <c r="D60" s="4">
        <v>423.76055224362699</v>
      </c>
      <c r="E60" s="4">
        <v>1000</v>
      </c>
      <c r="F60" s="15">
        <v>2053.0170302371298</v>
      </c>
    </row>
    <row r="61" spans="1:6" x14ac:dyDescent="0.3">
      <c r="A61" s="3" t="s">
        <v>64</v>
      </c>
      <c r="B61" s="4">
        <v>208.460210414545</v>
      </c>
      <c r="C61" s="5">
        <v>0.76979557540780796</v>
      </c>
      <c r="D61" s="4">
        <v>409.01245315356402</v>
      </c>
      <c r="E61" s="4">
        <v>1000</v>
      </c>
      <c r="F61" s="15">
        <v>2128.9191670364098</v>
      </c>
    </row>
    <row r="62" spans="1:6" x14ac:dyDescent="0.3">
      <c r="A62" s="3" t="s">
        <v>65</v>
      </c>
      <c r="B62" s="4">
        <v>208.51554700808899</v>
      </c>
      <c r="C62" s="5">
        <v>0</v>
      </c>
      <c r="D62" s="4">
        <v>0</v>
      </c>
      <c r="E62" s="4">
        <v>1000</v>
      </c>
      <c r="F62" s="15">
        <v>2128.9191670364098</v>
      </c>
    </row>
    <row r="63" spans="1:6" x14ac:dyDescent="0.3">
      <c r="A63" s="3" t="s">
        <v>66</v>
      </c>
      <c r="B63" s="4">
        <v>209.34815623368601</v>
      </c>
      <c r="C63" s="5">
        <v>0</v>
      </c>
      <c r="D63" s="4">
        <v>0</v>
      </c>
      <c r="E63" s="4">
        <v>1000</v>
      </c>
      <c r="F63" s="15">
        <v>2128.9191670364098</v>
      </c>
    </row>
    <row r="64" spans="1:6" x14ac:dyDescent="0.3">
      <c r="A64" s="3" t="s">
        <v>67</v>
      </c>
      <c r="B64" s="4">
        <v>209.342113908209</v>
      </c>
      <c r="C64" s="5">
        <v>0.77685811290405704</v>
      </c>
      <c r="D64" s="4">
        <v>432.76397704570201</v>
      </c>
      <c r="E64" s="4">
        <v>1000</v>
      </c>
      <c r="F64" s="15">
        <v>2129.3519310134502</v>
      </c>
    </row>
    <row r="65" spans="1:6" x14ac:dyDescent="0.3">
      <c r="A65" s="3" t="s">
        <v>68</v>
      </c>
      <c r="B65" s="4">
        <v>207.808035003073</v>
      </c>
      <c r="C65" s="5">
        <v>0.78615956011871702</v>
      </c>
      <c r="D65" s="4">
        <v>381.32132271047197</v>
      </c>
      <c r="E65" s="4">
        <v>1000</v>
      </c>
      <c r="F65" s="15">
        <v>2195.8085733830499</v>
      </c>
    </row>
    <row r="66" spans="1:6" x14ac:dyDescent="0.3">
      <c r="A66" s="3" t="s">
        <v>69</v>
      </c>
      <c r="B66" s="4">
        <v>206.965286472157</v>
      </c>
      <c r="C66" s="5">
        <v>0.80144170623419497</v>
      </c>
      <c r="D66" s="4">
        <v>348.69745875104502</v>
      </c>
      <c r="E66" s="4">
        <v>1000</v>
      </c>
      <c r="F66" s="15">
        <v>2261.2327779083498</v>
      </c>
    </row>
    <row r="67" spans="1:6" x14ac:dyDescent="0.3">
      <c r="A67" s="3" t="s">
        <v>70</v>
      </c>
      <c r="B67" s="4">
        <v>207.02045533402699</v>
      </c>
      <c r="C67" s="5">
        <v>0</v>
      </c>
      <c r="D67" s="4">
        <v>0</v>
      </c>
      <c r="E67" s="4">
        <v>1000</v>
      </c>
      <c r="F67" s="15">
        <v>2261.2327779083498</v>
      </c>
    </row>
    <row r="68" spans="1:6" x14ac:dyDescent="0.3">
      <c r="A68" s="3" t="s">
        <v>71</v>
      </c>
      <c r="B68" s="4">
        <v>207.862443247632</v>
      </c>
      <c r="C68" s="5">
        <v>0</v>
      </c>
      <c r="D68" s="4">
        <v>0</v>
      </c>
      <c r="E68" s="4">
        <v>1000</v>
      </c>
      <c r="F68" s="15">
        <v>2261.2327779083498</v>
      </c>
    </row>
    <row r="69" spans="1:6" x14ac:dyDescent="0.3">
      <c r="A69" s="3" t="s">
        <v>72</v>
      </c>
      <c r="B69" s="4">
        <v>207.85837917095699</v>
      </c>
      <c r="C69" s="5">
        <v>0.79749271568338198</v>
      </c>
      <c r="D69" s="4">
        <v>404.59310096783503</v>
      </c>
      <c r="E69" s="4">
        <v>1000</v>
      </c>
      <c r="F69" s="15">
        <v>2261.6373710093098</v>
      </c>
    </row>
    <row r="70" spans="1:6" x14ac:dyDescent="0.3">
      <c r="A70" s="3" t="s">
        <v>73</v>
      </c>
      <c r="B70" s="4">
        <v>206.62192463465499</v>
      </c>
      <c r="C70" s="5">
        <v>0.80826153898103104</v>
      </c>
      <c r="D70" s="4">
        <v>339.90940076433401</v>
      </c>
      <c r="E70" s="4">
        <v>1000</v>
      </c>
      <c r="F70" s="15">
        <v>2320.9738316295798</v>
      </c>
    </row>
    <row r="71" spans="1:6" x14ac:dyDescent="0.3">
      <c r="A71" s="3" t="s">
        <v>74</v>
      </c>
      <c r="B71" s="4">
        <v>205.966513877371</v>
      </c>
      <c r="C71" s="5">
        <v>0.82050362065716598</v>
      </c>
      <c r="D71" s="4">
        <v>313.88966015461801</v>
      </c>
      <c r="E71" s="4">
        <v>1000</v>
      </c>
      <c r="F71" s="15">
        <v>2379.5609191608401</v>
      </c>
    </row>
    <row r="72" spans="1:6" x14ac:dyDescent="0.3">
      <c r="A72" s="3" t="s">
        <v>75</v>
      </c>
      <c r="B72" s="4">
        <v>206.013100066725</v>
      </c>
      <c r="C72" s="5">
        <v>0</v>
      </c>
      <c r="D72" s="4">
        <v>0</v>
      </c>
      <c r="E72" s="4">
        <v>1000</v>
      </c>
      <c r="F72" s="15">
        <v>2379.5609191608401</v>
      </c>
    </row>
    <row r="73" spans="1:6" x14ac:dyDescent="0.3">
      <c r="A73" s="3" t="s">
        <v>76</v>
      </c>
      <c r="B73" s="4">
        <v>206.85162948368799</v>
      </c>
      <c r="C73" s="5">
        <v>0</v>
      </c>
      <c r="D73" s="4">
        <v>0</v>
      </c>
      <c r="E73" s="4">
        <v>1000</v>
      </c>
      <c r="F73" s="15">
        <v>2379.5609191608401</v>
      </c>
    </row>
    <row r="74" spans="1:6" x14ac:dyDescent="0.3">
      <c r="A74" s="3" t="s">
        <v>77</v>
      </c>
      <c r="B74" s="4">
        <v>206.84942443600599</v>
      </c>
      <c r="C74" s="5">
        <v>0.82243493249339805</v>
      </c>
      <c r="D74" s="4">
        <v>352.60771624889998</v>
      </c>
      <c r="E74" s="4">
        <v>1000</v>
      </c>
      <c r="F74" s="15">
        <v>2379.9135268770897</v>
      </c>
    </row>
    <row r="75" spans="1:6" x14ac:dyDescent="0.3">
      <c r="A75" s="3" t="s">
        <v>78</v>
      </c>
      <c r="B75" s="4">
        <v>205.813147562978</v>
      </c>
      <c r="C75" s="5">
        <v>0.82964095092519696</v>
      </c>
      <c r="D75" s="4">
        <v>300.49479167726503</v>
      </c>
      <c r="E75" s="4">
        <v>1000</v>
      </c>
      <c r="F75" s="15">
        <v>2432.68880652078</v>
      </c>
    </row>
    <row r="76" spans="1:6" x14ac:dyDescent="0.3">
      <c r="A76" s="3" t="s">
        <v>79</v>
      </c>
      <c r="B76" s="4">
        <v>205.295845183647</v>
      </c>
      <c r="C76" s="5">
        <v>0.83929615130073598</v>
      </c>
      <c r="D76" s="4">
        <v>281.77296245916</v>
      </c>
      <c r="E76" s="4">
        <v>1000</v>
      </c>
      <c r="F76" s="15">
        <v>2485.13009037658</v>
      </c>
    </row>
    <row r="77" spans="1:6" x14ac:dyDescent="0.3">
      <c r="A77" s="3" t="s">
        <v>80</v>
      </c>
      <c r="B77" s="4">
        <v>205.342439483096</v>
      </c>
      <c r="C77" s="5">
        <v>0</v>
      </c>
      <c r="D77" s="4">
        <v>0</v>
      </c>
      <c r="E77" s="4">
        <v>1000</v>
      </c>
      <c r="F77" s="15">
        <v>2485.13009037658</v>
      </c>
    </row>
    <row r="78" spans="1:6" x14ac:dyDescent="0.3">
      <c r="A78" s="3" t="s">
        <v>81</v>
      </c>
      <c r="B78" s="4">
        <v>206.18181326585201</v>
      </c>
      <c r="C78" s="5">
        <v>0</v>
      </c>
      <c r="D78" s="4">
        <v>0</v>
      </c>
      <c r="E78" s="4">
        <v>1000</v>
      </c>
      <c r="F78" s="15">
        <v>2485.13009037658</v>
      </c>
    </row>
    <row r="79" spans="1:6" x14ac:dyDescent="0.3">
      <c r="A79" s="3" t="s">
        <v>82</v>
      </c>
      <c r="B79" s="4">
        <v>206.180128656677</v>
      </c>
      <c r="C79" s="5">
        <v>0.83626586519281798</v>
      </c>
      <c r="D79" s="4">
        <v>328.69746273011401</v>
      </c>
      <c r="E79" s="4">
        <v>1000</v>
      </c>
      <c r="F79" s="15">
        <v>2485.4587878393099</v>
      </c>
    </row>
    <row r="80" spans="1:6" x14ac:dyDescent="0.3">
      <c r="A80" s="3" t="s">
        <v>83</v>
      </c>
      <c r="B80" s="4">
        <v>205.15105211033199</v>
      </c>
      <c r="C80" s="5">
        <v>0.84131496286803298</v>
      </c>
      <c r="D80" s="4">
        <v>285.24901927561001</v>
      </c>
      <c r="E80" s="4">
        <v>1000</v>
      </c>
      <c r="F80" s="15">
        <v>2534.1899570442401</v>
      </c>
    </row>
    <row r="81" spans="1:6" x14ac:dyDescent="0.3">
      <c r="A81" s="3" t="s">
        <v>84</v>
      </c>
      <c r="B81" s="4">
        <v>204.43604265627201</v>
      </c>
      <c r="C81" s="5">
        <v>0.85206891071977597</v>
      </c>
      <c r="D81" s="4">
        <v>264.06573918371299</v>
      </c>
      <c r="E81" s="4">
        <v>1000</v>
      </c>
      <c r="F81" s="15">
        <v>2583.67365213529</v>
      </c>
    </row>
    <row r="82" spans="1:6" x14ac:dyDescent="0.3">
      <c r="A82" s="3" t="s">
        <v>85</v>
      </c>
      <c r="B82" s="4">
        <v>204.48192417528199</v>
      </c>
      <c r="C82" s="5">
        <v>0</v>
      </c>
      <c r="D82" s="4">
        <v>0</v>
      </c>
      <c r="E82" s="4">
        <v>1000</v>
      </c>
      <c r="F82" s="15">
        <v>2583.67365213529</v>
      </c>
    </row>
    <row r="83" spans="1:6" x14ac:dyDescent="0.3">
      <c r="A83" s="3" t="s">
        <v>86</v>
      </c>
      <c r="B83" s="4">
        <v>205.316581647585</v>
      </c>
      <c r="C83" s="5">
        <v>0</v>
      </c>
      <c r="D83" s="4">
        <v>0</v>
      </c>
      <c r="E83" s="4">
        <v>1000</v>
      </c>
      <c r="F83" s="15">
        <v>2583.67365213529</v>
      </c>
    </row>
    <row r="84" spans="1:6" x14ac:dyDescent="0.3">
      <c r="A84" s="3" t="s">
        <v>87</v>
      </c>
      <c r="B84" s="4">
        <v>205.31431272289601</v>
      </c>
      <c r="C84" s="5">
        <v>0.85082947316356194</v>
      </c>
      <c r="D84" s="4">
        <v>303.94335218020001</v>
      </c>
      <c r="E84" s="4">
        <v>1000</v>
      </c>
      <c r="F84" s="15">
        <v>2583.9775954874699</v>
      </c>
    </row>
    <row r="85" spans="1:6" x14ac:dyDescent="0.3">
      <c r="A85" s="3" t="s">
        <v>88</v>
      </c>
      <c r="B85" s="4">
        <v>204.173692177764</v>
      </c>
      <c r="C85" s="5">
        <v>0.85366110795487604</v>
      </c>
      <c r="D85" s="4">
        <v>267.71304193723103</v>
      </c>
      <c r="E85" s="4">
        <v>1000</v>
      </c>
      <c r="F85" s="15">
        <v>2629.6259508286903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>
      <selection activeCell="B13" sqref="B13"/>
    </sheetView>
  </sheetViews>
  <sheetFormatPr defaultColWidth="8.6640625" defaultRowHeight="14.4" x14ac:dyDescent="0.3"/>
  <cols>
    <col min="1" max="1" width="40" customWidth="1"/>
    <col min="2" max="2" width="25" customWidth="1"/>
  </cols>
  <sheetData>
    <row r="1" spans="1:2" ht="17.399999999999999" x14ac:dyDescent="0.3">
      <c r="A1" s="1" t="s">
        <v>89</v>
      </c>
      <c r="B1" s="1"/>
    </row>
    <row r="3" spans="1:2" x14ac:dyDescent="0.3">
      <c r="A3" s="6" t="s">
        <v>90</v>
      </c>
      <c r="B3" s="6" t="s">
        <v>91</v>
      </c>
    </row>
    <row r="4" spans="1:2" x14ac:dyDescent="0.3">
      <c r="A4" t="s">
        <v>92</v>
      </c>
      <c r="B4" s="7">
        <f>'Waterflood Data'!B2</f>
        <v>235.93352087100101</v>
      </c>
    </row>
    <row r="5" spans="1:2" x14ac:dyDescent="0.3">
      <c r="A5" t="s">
        <v>93</v>
      </c>
      <c r="B5" s="7">
        <f>'Waterflood Data'!B85</f>
        <v>204.173692177764</v>
      </c>
    </row>
    <row r="6" spans="1:2" x14ac:dyDescent="0.3">
      <c r="A6" t="s">
        <v>94</v>
      </c>
      <c r="B6" s="8">
        <f>'Waterflood Data'!F85</f>
        <v>2629.6259508286903</v>
      </c>
    </row>
    <row r="8" spans="1:2" x14ac:dyDescent="0.3">
      <c r="A8" s="6" t="s">
        <v>95</v>
      </c>
      <c r="B8" s="6"/>
    </row>
    <row r="9" spans="1:2" x14ac:dyDescent="0.3">
      <c r="A9" t="s">
        <v>96</v>
      </c>
      <c r="B9" s="9">
        <v>9951</v>
      </c>
    </row>
    <row r="11" spans="1:2" x14ac:dyDescent="0.3">
      <c r="A11" s="10" t="s">
        <v>97</v>
      </c>
      <c r="B11" s="11">
        <f>IF(B9=0,"-",(B6/B9)*100)</f>
        <v>26.425745662030852</v>
      </c>
    </row>
    <row r="12" spans="1:2" x14ac:dyDescent="0.3">
      <c r="A12" s="12" t="s">
        <v>98</v>
      </c>
      <c r="B12" s="13">
        <f>IF(B9=0,"-",B6/B9)</f>
        <v>0.26425745662030853</v>
      </c>
    </row>
    <row r="14" spans="1:2" x14ac:dyDescent="0.3">
      <c r="A14" s="12" t="s">
        <v>99</v>
      </c>
    </row>
    <row r="15" spans="1:2" x14ac:dyDescent="0.3">
      <c r="A15" s="14" t="s">
        <v>100</v>
      </c>
    </row>
    <row r="16" spans="1:2" x14ac:dyDescent="0.3">
      <c r="A16" s="14" t="s">
        <v>101</v>
      </c>
    </row>
    <row r="17" spans="1:1" x14ac:dyDescent="0.3">
      <c r="A17" s="14" t="s">
        <v>102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Waterflood Data</vt:lpstr>
      <vt:lpstr>Recovery Factor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Harissa Rania</cp:lastModifiedBy>
  <cp:revision>1</cp:revision>
  <dcterms:created xsi:type="dcterms:W3CDTF">2026-02-06T01:44:58Z</dcterms:created>
  <dcterms:modified xsi:type="dcterms:W3CDTF">2026-02-06T02:51:44Z</dcterms:modified>
  <dc:language>en-US</dc:language>
</cp:coreProperties>
</file>